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060" activeTab="7"/>
  </bookViews>
  <sheets>
    <sheet name="Задание 1" sheetId="1" r:id="rId1"/>
    <sheet name="Задание 2" sheetId="2" r:id="rId2"/>
    <sheet name="Задание 3" sheetId="3" r:id="rId3"/>
    <sheet name="Задание 4.1" sheetId="4" r:id="rId4"/>
    <sheet name="Задание 4.2" sheetId="5" r:id="rId5"/>
    <sheet name="Задание 4.3" sheetId="6" r:id="rId6"/>
    <sheet name="Задание 5" sheetId="8" r:id="rId7"/>
    <sheet name="Задание 6" sheetId="7" r:id="rId8"/>
  </sheets>
  <definedNames>
    <definedName name="solver_adj" localSheetId="0" hidden="1">'Задание 1'!$A$6:$B$6</definedName>
    <definedName name="solver_adj" localSheetId="1" hidden="1">'Задание 2'!$B$2</definedName>
    <definedName name="solver_cvg" localSheetId="0" hidden="1">0.0001</definedName>
    <definedName name="solver_cvg" localSheetId="1" hidden="1">0.0001</definedName>
    <definedName name="solver_drv" localSheetId="0" hidden="1">1</definedName>
    <definedName name="solver_drv" localSheetId="1" hidden="1">2</definedName>
    <definedName name="solver_eng" localSheetId="0" hidden="1">1</definedName>
    <definedName name="solver_eng" localSheetId="1" hidden="1">1</definedName>
    <definedName name="solver_est" localSheetId="0" hidden="1">1</definedName>
    <definedName name="solver_est" localSheetId="1" hidden="1">1</definedName>
    <definedName name="solver_itr" localSheetId="0" hidden="1">2147483647</definedName>
    <definedName name="solver_itr" localSheetId="1" hidden="1">2147483647</definedName>
    <definedName name="solver_lhs1" localSheetId="0" hidden="1">'Задание 1'!$A$6</definedName>
    <definedName name="solver_lhs2" localSheetId="0" hidden="1">'Задание 1'!$B$6</definedName>
    <definedName name="solver_mip" localSheetId="0" hidden="1">2147483647</definedName>
    <definedName name="solver_mip" localSheetId="1" hidden="1">2147483647</definedName>
    <definedName name="solver_mni" localSheetId="0" hidden="1">30</definedName>
    <definedName name="solver_mni" localSheetId="1" hidden="1">30</definedName>
    <definedName name="solver_mrt" localSheetId="0" hidden="1">0.075</definedName>
    <definedName name="solver_mrt" localSheetId="1" hidden="1">0.075</definedName>
    <definedName name="solver_msl" localSheetId="0" hidden="1">2</definedName>
    <definedName name="solver_msl" localSheetId="1" hidden="1">2</definedName>
    <definedName name="solver_neg" localSheetId="0" hidden="1">2</definedName>
    <definedName name="solver_neg" localSheetId="1" hidden="1">1</definedName>
    <definedName name="solver_nod" localSheetId="0" hidden="1">2147483647</definedName>
    <definedName name="solver_nod" localSheetId="1" hidden="1">2147483647</definedName>
    <definedName name="solver_num" localSheetId="0" hidden="1">2</definedName>
    <definedName name="solver_num" localSheetId="1" hidden="1">0</definedName>
    <definedName name="solver_nwt" localSheetId="0" hidden="1">1</definedName>
    <definedName name="solver_nwt" localSheetId="1" hidden="1">1</definedName>
    <definedName name="solver_opt" localSheetId="0" hidden="1">'Задание 1'!$D$6</definedName>
    <definedName name="solver_opt" localSheetId="1" hidden="1">'Задание 2'!$B$3</definedName>
    <definedName name="solver_pre" localSheetId="0" hidden="1">0.000001</definedName>
    <definedName name="solver_pre" localSheetId="1" hidden="1">0.000001</definedName>
    <definedName name="solver_rbv" localSheetId="0" hidden="1">1</definedName>
    <definedName name="solver_rbv" localSheetId="1" hidden="1">2</definedName>
    <definedName name="solver_rel1" localSheetId="0" hidden="1">1</definedName>
    <definedName name="solver_rel2" localSheetId="0" hidden="1">1</definedName>
    <definedName name="solver_rhs1" localSheetId="0" hidden="1">1</definedName>
    <definedName name="solver_rhs2" localSheetId="0" hidden="1">-8</definedName>
    <definedName name="solver_rlx" localSheetId="0" hidden="1">2</definedName>
    <definedName name="solver_rlx" localSheetId="1" hidden="1">2</definedName>
    <definedName name="solver_rsd" localSheetId="0" hidden="1">0</definedName>
    <definedName name="solver_rsd" localSheetId="1" hidden="1">0</definedName>
    <definedName name="solver_scl" localSheetId="0" hidden="1">1</definedName>
    <definedName name="solver_scl" localSheetId="1" hidden="1">2</definedName>
    <definedName name="solver_sho" localSheetId="0" hidden="1">2</definedName>
    <definedName name="solver_sho" localSheetId="1" hidden="1">2</definedName>
    <definedName name="solver_ssz" localSheetId="0" hidden="1">100</definedName>
    <definedName name="solver_ssz" localSheetId="1" hidden="1">100</definedName>
    <definedName name="solver_tim" localSheetId="0" hidden="1">2147483647</definedName>
    <definedName name="solver_tim" localSheetId="1" hidden="1">2147483647</definedName>
    <definedName name="solver_tol" localSheetId="0" hidden="1">0.01</definedName>
    <definedName name="solver_tol" localSheetId="1" hidden="1">0.01</definedName>
    <definedName name="solver_typ" localSheetId="0" hidden="1">1</definedName>
    <definedName name="solver_typ" localSheetId="1" hidden="1">3</definedName>
    <definedName name="solver_val" localSheetId="0" hidden="1">0</definedName>
    <definedName name="solver_val" localSheetId="1" hidden="1">0</definedName>
    <definedName name="solver_ver" localSheetId="0" hidden="1">3</definedName>
    <definedName name="solver_ver" localSheetId="1" hidden="1">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<sst xmlns="http://schemas.openxmlformats.org/spreadsheetml/2006/main" count="84" uniqueCount="53">
  <si>
    <t>x1</t>
  </si>
  <si>
    <t>x2</t>
  </si>
  <si>
    <t>x3</t>
  </si>
  <si>
    <t>f(x1, x2)</t>
  </si>
  <si>
    <t>2x^2 + 3x - 9 = 0</t>
  </si>
  <si>
    <t>Первоначальное значение x:</t>
  </si>
  <si>
    <t>Значение левой части:</t>
  </si>
  <si>
    <t>Первонаальное значение x:</t>
  </si>
  <si>
    <t>i</t>
  </si>
  <si>
    <t>x</t>
  </si>
  <si>
    <t>sinx</t>
  </si>
  <si>
    <t>Δyᵢ</t>
  </si>
  <si>
    <t>Δ²yᵢ</t>
  </si>
  <si>
    <t>Δ³yᵢ</t>
  </si>
  <si>
    <t>Δ⁴yᵢ</t>
  </si>
  <si>
    <t>Δ⁵yᵢ</t>
  </si>
  <si>
    <t>Δ⁶yᵢ</t>
  </si>
  <si>
    <t>t</t>
  </si>
  <si>
    <t>k</t>
  </si>
  <si>
    <t>f2(x1, x2)</t>
  </si>
  <si>
    <t>f`(x1, x2)</t>
  </si>
  <si>
    <t>f`^(-1) (x1, x2)</t>
  </si>
  <si>
    <t>f`^(-1) (x1, x2)*f`(x1, x2)</t>
  </si>
  <si>
    <t>x1^(k+1)</t>
  </si>
  <si>
    <t>x1^(k+1) - x1^k</t>
  </si>
  <si>
    <t>y</t>
  </si>
  <si>
    <t>y+B16:D862</t>
  </si>
  <si>
    <t>f1(x1, x2)</t>
  </si>
  <si>
    <t>x2^(k+1)</t>
  </si>
  <si>
    <t>x2^(k+1) - x2^k</t>
  </si>
  <si>
    <t>xk</t>
  </si>
  <si>
    <t>yk</t>
  </si>
  <si>
    <t>f(xk, yk)</t>
  </si>
  <si>
    <t>fx`(xk, yk)</t>
  </si>
  <si>
    <t>|(xk)</t>
  </si>
  <si>
    <t>g(|(xk), yk)</t>
  </si>
  <si>
    <t>gy`(|(xk), yk)</t>
  </si>
  <si>
    <t>fy`(xk, yk)</t>
  </si>
  <si>
    <t>Rx`(|(xk), yk)</t>
  </si>
  <si>
    <t>qk</t>
  </si>
  <si>
    <t>pk</t>
  </si>
  <si>
    <t>x1 + f1(x2)</t>
  </si>
  <si>
    <t>x2 + f2(x1)</t>
  </si>
  <si>
    <t>y(x)</t>
  </si>
  <si>
    <t>(y-y(x))^2</t>
  </si>
  <si>
    <t>Сумма</t>
  </si>
  <si>
    <t>Пло трапеции:</t>
  </si>
  <si>
    <t>a</t>
  </si>
  <si>
    <t>По Симпсону:</t>
  </si>
  <si>
    <t>b</t>
  </si>
  <si>
    <t>h</t>
  </si>
  <si>
    <t>Разность по трапеции:</t>
  </si>
  <si>
    <t>Разность по Симпсону: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</si>
</sst>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  <numFmt numFmtId="180" formatCode="0.0000"/>
    <numFmt numFmtId="181" formatCode="0.000000000000000"/>
  </numFmts>
  <fonts count="22">
    <font>
      <sz val="11"/>
      <color theme="1"/>
      <name val="Calibri"/>
      <charset val="134"/>
      <scheme val="minor"/>
    </font>
    <font>
      <sz val="8"/>
      <color rgb="FF383A42"/>
      <name val="Courier New"/>
      <charset val="20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2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5" borderId="34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5" applyNumberFormat="0" applyFill="0" applyAlignment="0" applyProtection="0">
      <alignment vertical="center"/>
    </xf>
    <xf numFmtId="0" fontId="9" fillId="0" borderId="35" applyNumberFormat="0" applyFill="0" applyAlignment="0" applyProtection="0">
      <alignment vertical="center"/>
    </xf>
    <xf numFmtId="0" fontId="10" fillId="0" borderId="36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37" applyNumberFormat="0" applyAlignment="0" applyProtection="0">
      <alignment vertical="center"/>
    </xf>
    <xf numFmtId="0" fontId="12" fillId="7" borderId="38" applyNumberFormat="0" applyAlignment="0" applyProtection="0">
      <alignment vertical="center"/>
    </xf>
    <xf numFmtId="0" fontId="13" fillId="7" borderId="37" applyNumberFormat="0" applyAlignment="0" applyProtection="0">
      <alignment vertical="center"/>
    </xf>
    <xf numFmtId="0" fontId="14" fillId="8" borderId="39" applyNumberFormat="0" applyAlignment="0" applyProtection="0">
      <alignment vertical="center"/>
    </xf>
    <xf numFmtId="0" fontId="15" fillId="0" borderId="40" applyNumberFormat="0" applyFill="0" applyAlignment="0" applyProtection="0">
      <alignment vertical="center"/>
    </xf>
    <xf numFmtId="0" fontId="16" fillId="0" borderId="41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79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/>
    <xf numFmtId="0" fontId="0" fillId="0" borderId="1" xfId="0" applyBorder="1"/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4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0" xfId="0" applyBorder="1"/>
    <xf numFmtId="0" fontId="0" fillId="0" borderId="13" xfId="0" applyBorder="1"/>
    <xf numFmtId="0" fontId="1" fillId="0" borderId="0" xfId="0" applyFont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0" xfId="0" applyAlignment="1">
      <alignment horizont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180" fontId="0" fillId="0" borderId="17" xfId="0" applyNumberFormat="1" applyBorder="1"/>
    <xf numFmtId="180" fontId="0" fillId="2" borderId="18" xfId="0" applyNumberFormat="1" applyFill="1" applyBorder="1"/>
    <xf numFmtId="180" fontId="0" fillId="0" borderId="18" xfId="0" applyNumberFormat="1" applyBorder="1"/>
    <xf numFmtId="180" fontId="0" fillId="0" borderId="19" xfId="0" applyNumberFormat="1" applyBorder="1"/>
    <xf numFmtId="180" fontId="0" fillId="0" borderId="7" xfId="0" applyNumberFormat="1" applyBorder="1"/>
    <xf numFmtId="180" fontId="0" fillId="0" borderId="20" xfId="0" applyNumberFormat="1" applyBorder="1"/>
    <xf numFmtId="180" fontId="0" fillId="0" borderId="8" xfId="0" applyNumberFormat="1" applyBorder="1"/>
    <xf numFmtId="180" fontId="0" fillId="0" borderId="4" xfId="0" applyNumberFormat="1" applyBorder="1"/>
    <xf numFmtId="180" fontId="0" fillId="3" borderId="5" xfId="0" applyNumberFormat="1" applyFill="1" applyBorder="1"/>
    <xf numFmtId="180" fontId="0" fillId="0" borderId="5" xfId="0" applyNumberFormat="1" applyBorder="1"/>
    <xf numFmtId="180" fontId="0" fillId="0" borderId="6" xfId="0" applyNumberFormat="1" applyBorder="1"/>
    <xf numFmtId="180" fontId="0" fillId="0" borderId="0" xfId="0" applyNumberFormat="1"/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180" fontId="0" fillId="4" borderId="29" xfId="0" applyNumberFormat="1" applyFill="1" applyBorder="1"/>
    <xf numFmtId="180" fontId="0" fillId="4" borderId="30" xfId="0" applyNumberFormat="1" applyFill="1" applyBorder="1"/>
    <xf numFmtId="180" fontId="0" fillId="0" borderId="30" xfId="0" applyNumberFormat="1" applyBorder="1"/>
    <xf numFmtId="0" fontId="0" fillId="0" borderId="30" xfId="0" applyBorder="1"/>
    <xf numFmtId="0" fontId="0" fillId="0" borderId="27" xfId="0" applyBorder="1"/>
    <xf numFmtId="0" fontId="0" fillId="0" borderId="31" xfId="0" applyBorder="1" applyAlignment="1">
      <alignment horizontal="center" vertical="center"/>
    </xf>
    <xf numFmtId="0" fontId="0" fillId="0" borderId="32" xfId="0" applyBorder="1"/>
    <xf numFmtId="0" fontId="0" fillId="0" borderId="33" xfId="0" applyBorder="1" applyAlignment="1">
      <alignment horizontal="center" vertical="center"/>
    </xf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7" xfId="0" applyBorder="1"/>
    <xf numFmtId="0" fontId="0" fillId="0" borderId="20" xfId="0" applyBorder="1"/>
    <xf numFmtId="0" fontId="0" fillId="0" borderId="8" xfId="0" applyBorder="1"/>
    <xf numFmtId="180" fontId="0" fillId="3" borderId="20" xfId="0" applyNumberFormat="1" applyFill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32" xfId="0" applyBorder="1"/>
    <xf numFmtId="0" fontId="0" fillId="0" borderId="17" xfId="0" applyBorder="1"/>
    <xf numFmtId="0" fontId="0" fillId="0" borderId="18" xfId="0" applyBorder="1"/>
    <xf numFmtId="0" fontId="0" fillId="0" borderId="20" xfId="0" applyBorder="1"/>
    <xf numFmtId="0" fontId="0" fillId="0" borderId="5" xfId="0" applyBorder="1"/>
    <xf numFmtId="0" fontId="0" fillId="0" borderId="19" xfId="0" applyBorder="1"/>
    <xf numFmtId="0" fontId="0" fillId="0" borderId="0" xfId="0" applyAlignment="1">
      <alignment horizontal="right"/>
    </xf>
    <xf numFmtId="181" fontId="0" fillId="0" borderId="0" xfId="0" applyNumberFormat="1"/>
    <xf numFmtId="0" fontId="0" fillId="0" borderId="2" xfId="0" applyBorder="1"/>
    <xf numFmtId="0" fontId="0" fillId="3" borderId="4" xfId="0" applyFill="1" applyBorder="1"/>
    <xf numFmtId="0" fontId="0" fillId="3" borderId="5" xfId="0" applyFill="1" applyBorder="1"/>
    <xf numFmtId="0" fontId="0" fillId="4" borderId="6" xfId="0" applyFill="1" applyBorder="1"/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2" defaultPivotStyle="PivotStyleLight16"/>
  <colors>
    <mruColors>
      <color rgb="00E594DA"/>
      <color rgb="00461643"/>
      <color rgb="0060EAE2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eetMetadata" Target="metadata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"/>
        <c:varyColors val="0"/>
        <c:ser>
          <c:idx val="0"/>
          <c:order val="0"/>
          <c:tx>
            <c:strRef>
              <c:f>'Задание 4.1'!$M$1</c:f>
              <c:strCache>
                <c:ptCount val="1"/>
                <c:pt idx="0">
                  <c:v>y</c:v>
                </c:pt>
              </c:strCache>
            </c:strRef>
          </c:tx>
          <c:spPr>
            <a:ln w="19050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'Задание 4.1'!$L$2:$L$82</c:f>
              <c:numCache>
                <c:formatCode>General</c:formatCode>
                <c:ptCount val="8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  <c:pt idx="21">
                  <c:v>1.05</c:v>
                </c:pt>
                <c:pt idx="22">
                  <c:v>1.1</c:v>
                </c:pt>
                <c:pt idx="23">
                  <c:v>1.15</c:v>
                </c:pt>
                <c:pt idx="24">
                  <c:v>1.2</c:v>
                </c:pt>
                <c:pt idx="25">
                  <c:v>1.25</c:v>
                </c:pt>
                <c:pt idx="26">
                  <c:v>1.3</c:v>
                </c:pt>
                <c:pt idx="27">
                  <c:v>1.35</c:v>
                </c:pt>
                <c:pt idx="28">
                  <c:v>1.4</c:v>
                </c:pt>
                <c:pt idx="29">
                  <c:v>1.45</c:v>
                </c:pt>
                <c:pt idx="30">
                  <c:v>1.5</c:v>
                </c:pt>
                <c:pt idx="31">
                  <c:v>1.55</c:v>
                </c:pt>
                <c:pt idx="32">
                  <c:v>1.6</c:v>
                </c:pt>
                <c:pt idx="33">
                  <c:v>1.65</c:v>
                </c:pt>
                <c:pt idx="34">
                  <c:v>1.7</c:v>
                </c:pt>
                <c:pt idx="35">
                  <c:v>1.75</c:v>
                </c:pt>
                <c:pt idx="36">
                  <c:v>1.8</c:v>
                </c:pt>
                <c:pt idx="37">
                  <c:v>1.85</c:v>
                </c:pt>
                <c:pt idx="38">
                  <c:v>1.9</c:v>
                </c:pt>
                <c:pt idx="39">
                  <c:v>1.95</c:v>
                </c:pt>
                <c:pt idx="40">
                  <c:v>2</c:v>
                </c:pt>
                <c:pt idx="41">
                  <c:v>2.05</c:v>
                </c:pt>
                <c:pt idx="42">
                  <c:v>2.1</c:v>
                </c:pt>
                <c:pt idx="43">
                  <c:v>2.15</c:v>
                </c:pt>
                <c:pt idx="44">
                  <c:v>2.2</c:v>
                </c:pt>
                <c:pt idx="45">
                  <c:v>2.25</c:v>
                </c:pt>
                <c:pt idx="46">
                  <c:v>2.3</c:v>
                </c:pt>
                <c:pt idx="47">
                  <c:v>2.35</c:v>
                </c:pt>
                <c:pt idx="48">
                  <c:v>2.4</c:v>
                </c:pt>
                <c:pt idx="49">
                  <c:v>2.45</c:v>
                </c:pt>
                <c:pt idx="50">
                  <c:v>2.5</c:v>
                </c:pt>
                <c:pt idx="51">
                  <c:v>2.55</c:v>
                </c:pt>
                <c:pt idx="52">
                  <c:v>2.6</c:v>
                </c:pt>
                <c:pt idx="53">
                  <c:v>2.65</c:v>
                </c:pt>
                <c:pt idx="54">
                  <c:v>2.7</c:v>
                </c:pt>
                <c:pt idx="55">
                  <c:v>2.75</c:v>
                </c:pt>
                <c:pt idx="56">
                  <c:v>2.8</c:v>
                </c:pt>
                <c:pt idx="57">
                  <c:v>2.85</c:v>
                </c:pt>
                <c:pt idx="58">
                  <c:v>2.9</c:v>
                </c:pt>
                <c:pt idx="59">
                  <c:v>2.95</c:v>
                </c:pt>
                <c:pt idx="60">
                  <c:v>3</c:v>
                </c:pt>
                <c:pt idx="61">
                  <c:v>3.05</c:v>
                </c:pt>
                <c:pt idx="62">
                  <c:v>3.1</c:v>
                </c:pt>
                <c:pt idx="63">
                  <c:v>3.15</c:v>
                </c:pt>
                <c:pt idx="64">
                  <c:v>3.2</c:v>
                </c:pt>
                <c:pt idx="65">
                  <c:v>3.25</c:v>
                </c:pt>
                <c:pt idx="66">
                  <c:v>3.3</c:v>
                </c:pt>
                <c:pt idx="67">
                  <c:v>3.35</c:v>
                </c:pt>
                <c:pt idx="68">
                  <c:v>3.4</c:v>
                </c:pt>
                <c:pt idx="69">
                  <c:v>3.45</c:v>
                </c:pt>
                <c:pt idx="70">
                  <c:v>3.5</c:v>
                </c:pt>
                <c:pt idx="71">
                  <c:v>3.55</c:v>
                </c:pt>
                <c:pt idx="72">
                  <c:v>3.6</c:v>
                </c:pt>
                <c:pt idx="73">
                  <c:v>3.65</c:v>
                </c:pt>
                <c:pt idx="74">
                  <c:v>3.7</c:v>
                </c:pt>
                <c:pt idx="75">
                  <c:v>3.75</c:v>
                </c:pt>
                <c:pt idx="76">
                  <c:v>3.8</c:v>
                </c:pt>
                <c:pt idx="77">
                  <c:v>3.85</c:v>
                </c:pt>
                <c:pt idx="78">
                  <c:v>3.9</c:v>
                </c:pt>
                <c:pt idx="79">
                  <c:v>3.95</c:v>
                </c:pt>
                <c:pt idx="80">
                  <c:v>4</c:v>
                </c:pt>
              </c:numCache>
            </c:numRef>
          </c:xVal>
          <c:yVal>
            <c:numRef>
              <c:f>'Задание 4.1'!$M$2:$M$82</c:f>
              <c:numCache>
                <c:formatCode>General</c:formatCode>
                <c:ptCount val="81"/>
                <c:pt idx="20">
                  <c:v>3.14159265358979</c:v>
                </c:pt>
                <c:pt idx="21">
                  <c:v>2.82403222429827</c:v>
                </c:pt>
                <c:pt idx="22">
                  <c:v>2.69056584179353</c:v>
                </c:pt>
                <c:pt idx="23">
                  <c:v>2.58678162060972</c:v>
                </c:pt>
                <c:pt idx="24">
                  <c:v>2.49809154479651</c:v>
                </c:pt>
                <c:pt idx="25">
                  <c:v>2.41885840577638</c:v>
                </c:pt>
                <c:pt idx="26">
                  <c:v>2.34619382340565</c:v>
                </c:pt>
                <c:pt idx="27">
                  <c:v>2.27838076352025</c:v>
                </c:pt>
                <c:pt idx="28">
                  <c:v>2.21429743558818</c:v>
                </c:pt>
                <c:pt idx="29">
                  <c:v>2.15316056466364</c:v>
                </c:pt>
                <c:pt idx="30">
                  <c:v>2.0943951023932</c:v>
                </c:pt>
                <c:pt idx="31">
                  <c:v>2.03756166584219</c:v>
                </c:pt>
                <c:pt idx="32">
                  <c:v>1.98231317286238</c:v>
                </c:pt>
                <c:pt idx="33">
                  <c:v>1.92836743044041</c:v>
                </c:pt>
                <c:pt idx="34">
                  <c:v>1.87548898081029</c:v>
                </c:pt>
                <c:pt idx="35">
                  <c:v>1.82347658193698</c:v>
                </c:pt>
                <c:pt idx="36">
                  <c:v>1.77215424758523</c:v>
                </c:pt>
                <c:pt idx="37">
                  <c:v>1.72136459957158</c:v>
                </c:pt>
                <c:pt idx="38">
                  <c:v>1.67096374795646</c:v>
                </c:pt>
                <c:pt idx="39">
                  <c:v>1.62081718360067</c:v>
                </c:pt>
                <c:pt idx="40">
                  <c:v>1.5707963267949</c:v>
                </c:pt>
                <c:pt idx="41">
                  <c:v>1.52077546998913</c:v>
                </c:pt>
                <c:pt idx="42">
                  <c:v>1.47062890563334</c:v>
                </c:pt>
                <c:pt idx="43">
                  <c:v>1.42022805401821</c:v>
                </c:pt>
                <c:pt idx="44">
                  <c:v>1.36943840600457</c:v>
                </c:pt>
                <c:pt idx="45">
                  <c:v>1.31811607165282</c:v>
                </c:pt>
                <c:pt idx="46">
                  <c:v>1.2661036727795</c:v>
                </c:pt>
                <c:pt idx="47">
                  <c:v>1.21322522314939</c:v>
                </c:pt>
                <c:pt idx="48">
                  <c:v>1.15927948072741</c:v>
                </c:pt>
                <c:pt idx="49">
                  <c:v>1.1040309877476</c:v>
                </c:pt>
                <c:pt idx="50">
                  <c:v>1.0471975511966</c:v>
                </c:pt>
                <c:pt idx="51">
                  <c:v>0.988432088926153</c:v>
                </c:pt>
                <c:pt idx="52">
                  <c:v>0.927295218001612</c:v>
                </c:pt>
                <c:pt idx="53">
                  <c:v>0.863211890069541</c:v>
                </c:pt>
                <c:pt idx="54">
                  <c:v>0.795398830184143</c:v>
                </c:pt>
                <c:pt idx="55">
                  <c:v>0.722734247813416</c:v>
                </c:pt>
                <c:pt idx="56">
                  <c:v>0.643501108793285</c:v>
                </c:pt>
                <c:pt idx="57">
                  <c:v>0.554811032980071</c:v>
                </c:pt>
                <c:pt idx="58">
                  <c:v>0.451026811796263</c:v>
                </c:pt>
                <c:pt idx="59">
                  <c:v>0.317560429291521</c:v>
                </c:pt>
                <c:pt idx="60">
                  <c:v>0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'Задание 4.1'!$N$1</c:f>
              <c:strCache>
                <c:ptCount val="1"/>
                <c:pt idx="0">
                  <c:v>y+B16:D862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'Задание 4.1'!$L$2:$L$82</c:f>
              <c:numCache>
                <c:formatCode>General</c:formatCode>
                <c:ptCount val="8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  <c:pt idx="21">
                  <c:v>1.05</c:v>
                </c:pt>
                <c:pt idx="22">
                  <c:v>1.1</c:v>
                </c:pt>
                <c:pt idx="23">
                  <c:v>1.15</c:v>
                </c:pt>
                <c:pt idx="24">
                  <c:v>1.2</c:v>
                </c:pt>
                <c:pt idx="25">
                  <c:v>1.25</c:v>
                </c:pt>
                <c:pt idx="26">
                  <c:v>1.3</c:v>
                </c:pt>
                <c:pt idx="27">
                  <c:v>1.35</c:v>
                </c:pt>
                <c:pt idx="28">
                  <c:v>1.4</c:v>
                </c:pt>
                <c:pt idx="29">
                  <c:v>1.45</c:v>
                </c:pt>
                <c:pt idx="30">
                  <c:v>1.5</c:v>
                </c:pt>
                <c:pt idx="31">
                  <c:v>1.55</c:v>
                </c:pt>
                <c:pt idx="32">
                  <c:v>1.6</c:v>
                </c:pt>
                <c:pt idx="33">
                  <c:v>1.65</c:v>
                </c:pt>
                <c:pt idx="34">
                  <c:v>1.7</c:v>
                </c:pt>
                <c:pt idx="35">
                  <c:v>1.75</c:v>
                </c:pt>
                <c:pt idx="36">
                  <c:v>1.8</c:v>
                </c:pt>
                <c:pt idx="37">
                  <c:v>1.85</c:v>
                </c:pt>
                <c:pt idx="38">
                  <c:v>1.9</c:v>
                </c:pt>
                <c:pt idx="39">
                  <c:v>1.95</c:v>
                </c:pt>
                <c:pt idx="40">
                  <c:v>2</c:v>
                </c:pt>
                <c:pt idx="41">
                  <c:v>2.05</c:v>
                </c:pt>
                <c:pt idx="42">
                  <c:v>2.1</c:v>
                </c:pt>
                <c:pt idx="43">
                  <c:v>2.15</c:v>
                </c:pt>
                <c:pt idx="44">
                  <c:v>2.2</c:v>
                </c:pt>
                <c:pt idx="45">
                  <c:v>2.25</c:v>
                </c:pt>
                <c:pt idx="46">
                  <c:v>2.3</c:v>
                </c:pt>
                <c:pt idx="47">
                  <c:v>2.35</c:v>
                </c:pt>
                <c:pt idx="48">
                  <c:v>2.4</c:v>
                </c:pt>
                <c:pt idx="49">
                  <c:v>2.45</c:v>
                </c:pt>
                <c:pt idx="50">
                  <c:v>2.5</c:v>
                </c:pt>
                <c:pt idx="51">
                  <c:v>2.55</c:v>
                </c:pt>
                <c:pt idx="52">
                  <c:v>2.6</c:v>
                </c:pt>
                <c:pt idx="53">
                  <c:v>2.65</c:v>
                </c:pt>
                <c:pt idx="54">
                  <c:v>2.7</c:v>
                </c:pt>
                <c:pt idx="55">
                  <c:v>2.75</c:v>
                </c:pt>
                <c:pt idx="56">
                  <c:v>2.8</c:v>
                </c:pt>
                <c:pt idx="57">
                  <c:v>2.85</c:v>
                </c:pt>
                <c:pt idx="58">
                  <c:v>2.9</c:v>
                </c:pt>
                <c:pt idx="59">
                  <c:v>2.95</c:v>
                </c:pt>
                <c:pt idx="60">
                  <c:v>3</c:v>
                </c:pt>
                <c:pt idx="61">
                  <c:v>3.05</c:v>
                </c:pt>
                <c:pt idx="62">
                  <c:v>3.1</c:v>
                </c:pt>
                <c:pt idx="63">
                  <c:v>3.15</c:v>
                </c:pt>
                <c:pt idx="64">
                  <c:v>3.2</c:v>
                </c:pt>
                <c:pt idx="65">
                  <c:v>3.25</c:v>
                </c:pt>
                <c:pt idx="66">
                  <c:v>3.3</c:v>
                </c:pt>
                <c:pt idx="67">
                  <c:v>3.35</c:v>
                </c:pt>
                <c:pt idx="68">
                  <c:v>3.4</c:v>
                </c:pt>
                <c:pt idx="69">
                  <c:v>3.45</c:v>
                </c:pt>
                <c:pt idx="70">
                  <c:v>3.5</c:v>
                </c:pt>
                <c:pt idx="71">
                  <c:v>3.55</c:v>
                </c:pt>
                <c:pt idx="72">
                  <c:v>3.6</c:v>
                </c:pt>
                <c:pt idx="73">
                  <c:v>3.65</c:v>
                </c:pt>
                <c:pt idx="74">
                  <c:v>3.7</c:v>
                </c:pt>
                <c:pt idx="75">
                  <c:v>3.75</c:v>
                </c:pt>
                <c:pt idx="76">
                  <c:v>3.8</c:v>
                </c:pt>
                <c:pt idx="77">
                  <c:v>3.85</c:v>
                </c:pt>
                <c:pt idx="78">
                  <c:v>3.9</c:v>
                </c:pt>
                <c:pt idx="79">
                  <c:v>3.95</c:v>
                </c:pt>
                <c:pt idx="80">
                  <c:v>4</c:v>
                </c:pt>
              </c:numCache>
            </c:numRef>
          </c:xVal>
          <c:yVal>
            <c:numRef>
              <c:f>'Задание 4.1'!$N$2:$N$82</c:f>
              <c:numCache>
                <c:formatCode>General</c:formatCode>
                <c:ptCount val="81"/>
                <c:pt idx="0">
                  <c:v>2</c:v>
                </c:pt>
                <c:pt idx="1">
                  <c:v>2.1494381324736</c:v>
                </c:pt>
                <c:pt idx="2">
                  <c:v>2.29552020666134</c:v>
                </c:pt>
                <c:pt idx="3">
                  <c:v>2.43496553411123</c:v>
                </c:pt>
                <c:pt idx="4">
                  <c:v>2.56464247339504</c:v>
                </c:pt>
                <c:pt idx="5">
                  <c:v>2.68163876002333</c:v>
                </c:pt>
                <c:pt idx="6">
                  <c:v>2.78332690962748</c:v>
                </c:pt>
                <c:pt idx="7">
                  <c:v>2.86742322559402</c:v>
                </c:pt>
                <c:pt idx="8">
                  <c:v>2.93203908596723</c:v>
                </c:pt>
                <c:pt idx="9">
                  <c:v>2.97572335782666</c:v>
                </c:pt>
                <c:pt idx="10">
                  <c:v>2.99749498660405</c:v>
                </c:pt>
                <c:pt idx="11">
                  <c:v>2.99686502845392</c:v>
                </c:pt>
                <c:pt idx="12">
                  <c:v>2.97384763087819</c:v>
                </c:pt>
                <c:pt idx="13">
                  <c:v>2.92895971500387</c:v>
                </c:pt>
                <c:pt idx="14">
                  <c:v>2.86320936664887</c:v>
                </c:pt>
                <c:pt idx="15">
                  <c:v>2.77807319688792</c:v>
                </c:pt>
                <c:pt idx="16">
                  <c:v>2.67546318055115</c:v>
                </c:pt>
                <c:pt idx="17">
                  <c:v>2.55768371739142</c:v>
                </c:pt>
                <c:pt idx="18">
                  <c:v>2.42737988023383</c:v>
                </c:pt>
                <c:pt idx="19">
                  <c:v>2.28747801234254</c:v>
                </c:pt>
                <c:pt idx="20">
                  <c:v>2.14112000805987</c:v>
                </c:pt>
                <c:pt idx="21">
                  <c:v>1.99159275263285</c:v>
                </c:pt>
                <c:pt idx="22">
                  <c:v>1.84225430585675</c:v>
                </c:pt>
                <c:pt idx="23">
                  <c:v>1.69645848729157</c:v>
                </c:pt>
                <c:pt idx="24">
                  <c:v>1.55747955670515</c:v>
                </c:pt>
                <c:pt idx="25">
                  <c:v>1.42843868125766</c:v>
                </c:pt>
                <c:pt idx="26">
                  <c:v>1.31223384081603</c:v>
                </c:pt>
                <c:pt idx="27">
                  <c:v>1.2114747455738</c:v>
                </c:pt>
                <c:pt idx="28">
                  <c:v>1.12842422758641</c:v>
                </c:pt>
                <c:pt idx="29">
                  <c:v>1.06494742244155</c:v>
                </c:pt>
                <c:pt idx="30">
                  <c:v>1.0224698823349</c:v>
                </c:pt>
                <c:pt idx="31">
                  <c:v>1.00194556124112</c:v>
                </c:pt>
                <c:pt idx="32">
                  <c:v>1.00383539116416</c:v>
                </c:pt>
                <c:pt idx="33">
                  <c:v>1.02809693059818</c:v>
                </c:pt>
                <c:pt idx="34">
                  <c:v>1.07418531767227</c:v>
                </c:pt>
                <c:pt idx="35">
                  <c:v>1.14106550657341</c:v>
                </c:pt>
                <c:pt idx="36">
                  <c:v>1.22723551244401</c:v>
                </c:pt>
                <c:pt idx="37">
                  <c:v>1.33076014272374</c:v>
                </c:pt>
                <c:pt idx="38">
                  <c:v>1.44931445740236</c:v>
                </c:pt>
                <c:pt idx="39">
                  <c:v>1.58023598216014</c:v>
                </c:pt>
                <c:pt idx="40">
                  <c:v>1.72058450180107</c:v>
                </c:pt>
                <c:pt idx="41">
                  <c:v>1.86720809114748</c:v>
                </c:pt>
                <c:pt idx="42">
                  <c:v>2.01681390048435</c:v>
                </c:pt>
                <c:pt idx="43">
                  <c:v>2.16604210586496</c:v>
                </c:pt>
                <c:pt idx="44">
                  <c:v>2.31154136351338</c:v>
                </c:pt>
                <c:pt idx="45">
                  <c:v>2.45004407378062</c:v>
                </c:pt>
                <c:pt idx="46">
                  <c:v>2.5784397643882</c:v>
                </c:pt>
                <c:pt idx="47">
                  <c:v>2.69384494492976</c:v>
                </c:pt>
                <c:pt idx="48">
                  <c:v>2.79366786384915</c:v>
                </c:pt>
                <c:pt idx="49">
                  <c:v>2.87566671359288</c:v>
                </c:pt>
                <c:pt idx="50">
                  <c:v>2.93799997677474</c:v>
                </c:pt>
                <c:pt idx="51">
                  <c:v>2.9792677826862</c:v>
                </c:pt>
                <c:pt idx="52">
                  <c:v>2.9985433453746</c:v>
                </c:pt>
                <c:pt idx="53">
                  <c:v>2.99539377725762</c:v>
                </c:pt>
                <c:pt idx="54">
                  <c:v>2.96988981084509</c:v>
                </c:pt>
                <c:pt idx="55">
                  <c:v>2.92260421023934</c:v>
                </c:pt>
                <c:pt idx="56">
                  <c:v>2.85459890808828</c:v>
                </c:pt>
                <c:pt idx="57">
                  <c:v>2.76740115686749</c:v>
                </c:pt>
                <c:pt idx="58">
                  <c:v>2.66296923008218</c:v>
                </c:pt>
                <c:pt idx="59">
                  <c:v>2.54364844366609</c:v>
                </c:pt>
                <c:pt idx="60">
                  <c:v>2.41211848524176</c:v>
                </c:pt>
                <c:pt idx="61">
                  <c:v>2.27133323411363</c:v>
                </c:pt>
                <c:pt idx="62">
                  <c:v>2.12445442350706</c:v>
                </c:pt>
                <c:pt idx="63">
                  <c:v>1.97478063485634</c:v>
                </c:pt>
                <c:pt idx="64">
                  <c:v>1.82567321877702</c:v>
                </c:pt>
                <c:pt idx="65">
                  <c:v>1.68048080637773</c:v>
                </c:pt>
                <c:pt idx="66">
                  <c:v>1.54246410622468</c:v>
                </c:pt>
                <c:pt idx="67">
                  <c:v>1.41472267585696</c:v>
                </c:pt>
                <c:pt idx="68">
                  <c:v>1.30012531240646</c:v>
                </c:pt>
                <c:pt idx="69">
                  <c:v>1.201245625599</c:v>
                </c:pt>
                <c:pt idx="70">
                  <c:v>1.12030424002833</c:v>
                </c:pt>
                <c:pt idx="71">
                  <c:v>1.05911892471509</c:v>
                </c:pt>
                <c:pt idx="72">
                  <c:v>1.01906376993351</c:v>
                </c:pt>
                <c:pt idx="73">
                  <c:v>1.00103832810618</c:v>
                </c:pt>
                <c:pt idx="74">
                  <c:v>1.00544741179601</c:v>
                </c:pt>
                <c:pt idx="75">
                  <c:v>1.03219200248874</c:v>
                </c:pt>
                <c:pt idx="76">
                  <c:v>1.08067147433532</c:v>
                </c:pt>
                <c:pt idx="77">
                  <c:v>1.14979708291363</c:v>
                </c:pt>
                <c:pt idx="78">
                  <c:v>1.23801641608097</c:v>
                </c:pt>
                <c:pt idx="79">
                  <c:v>1.34334825780399</c:v>
                </c:pt>
                <c:pt idx="80">
                  <c:v>1.46342708199957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8314536"/>
        <c:axId val="618313552"/>
      </c:scatterChart>
      <c:valAx>
        <c:axId val="6183145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ru-RU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18313552"/>
        <c:crosses val="autoZero"/>
        <c:crossBetween val="midCat"/>
      </c:valAx>
      <c:valAx>
        <c:axId val="618313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ru-RU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1831453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ru-RU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48a12c2d-eaa8-48d4-bc21-dc41ad3879b7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ru-RU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ru-RU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xVal>
            <c:numRef>
              <c:f>'Задание 5'!$F$1:$I$1</c:f>
              <c:numCache>
                <c:formatCode>General</c:formatCode>
                <c:ptCount val="4"/>
                <c:pt idx="0">
                  <c:v>-1</c:v>
                </c:pt>
                <c:pt idx="1">
                  <c:v>0</c:v>
                </c:pt>
                <c:pt idx="2">
                  <c:v>1</c:v>
                </c:pt>
                <c:pt idx="3">
                  <c:v>2</c:v>
                </c:pt>
              </c:numCache>
            </c:numRef>
          </c:xVal>
          <c:yVal>
            <c:numRef>
              <c:f>'Задание 5'!$F$2:$I$2</c:f>
              <c:numCache>
                <c:formatCode>General</c:formatCode>
                <c:ptCount val="4"/>
                <c:pt idx="0">
                  <c:v>1.8</c:v>
                </c:pt>
                <c:pt idx="1">
                  <c:v>2.4</c:v>
                </c:pt>
                <c:pt idx="2">
                  <c:v>2.2</c:v>
                </c:pt>
                <c:pt idx="3">
                  <c:v>2</c:v>
                </c:pt>
              </c:numCache>
            </c:numRef>
          </c:yVal>
          <c:smooth val="0"/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xVal>
            <c:numRef>
              <c:f>'Задание 5'!$F$1:$I$1</c:f>
              <c:numCache>
                <c:formatCode>General</c:formatCode>
                <c:ptCount val="4"/>
                <c:pt idx="0">
                  <c:v>-1</c:v>
                </c:pt>
                <c:pt idx="1">
                  <c:v>0</c:v>
                </c:pt>
                <c:pt idx="2">
                  <c:v>1</c:v>
                </c:pt>
                <c:pt idx="3">
                  <c:v>2</c:v>
                </c:pt>
              </c:numCache>
            </c:numRef>
          </c:xVal>
          <c:yVal>
            <c:numRef>
              <c:f>'Задание 5'!$F$3:$I$3</c:f>
              <c:numCache>
                <c:formatCode>General</c:formatCode>
                <c:ptCount val="4"/>
                <c:pt idx="0">
                  <c:v>2.1</c:v>
                </c:pt>
                <c:pt idx="1">
                  <c:v>2.1</c:v>
                </c:pt>
                <c:pt idx="2">
                  <c:v>2.1</c:v>
                </c:pt>
                <c:pt idx="3">
                  <c:v>2.1</c:v>
                </c:pt>
              </c:numCache>
            </c:numRef>
          </c:yVal>
          <c:smooth val="0"/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elete val="1"/>
          </c:dLbls>
          <c:xVal>
            <c:numRef>
              <c:f>'Задание 5'!$F$1:$I$1</c:f>
              <c:numCache>
                <c:formatCode>General</c:formatCode>
                <c:ptCount val="4"/>
                <c:pt idx="0">
                  <c:v>-1</c:v>
                </c:pt>
                <c:pt idx="1">
                  <c:v>0</c:v>
                </c:pt>
                <c:pt idx="2">
                  <c:v>1</c:v>
                </c:pt>
                <c:pt idx="3">
                  <c:v>2</c:v>
                </c:pt>
              </c:numCache>
            </c:numRef>
          </c:xVal>
          <c:yVal>
            <c:numRef>
              <c:f>'Задание 5'!$F$4:$I$4</c:f>
              <c:numCache>
                <c:formatCode>General</c:formatCode>
                <c:ptCount val="4"/>
                <c:pt idx="0">
                  <c:v>2.19</c:v>
                </c:pt>
                <c:pt idx="1">
                  <c:v>2.19</c:v>
                </c:pt>
                <c:pt idx="2">
                  <c:v>2.11</c:v>
                </c:pt>
                <c:pt idx="3">
                  <c:v>2.01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4084248"/>
        <c:axId val="614091464"/>
      </c:scatterChart>
      <c:valAx>
        <c:axId val="6140842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ru-RU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14091464"/>
        <c:crosses val="autoZero"/>
        <c:crossBetween val="midCat"/>
      </c:valAx>
      <c:valAx>
        <c:axId val="614091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ru-RU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1408424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ru-RU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2e9dc38b-fa3c-4577-9bf0-29b7f7680fec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ru-RU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107315</xdr:colOff>
      <xdr:row>10</xdr:row>
      <xdr:rowOff>43815</xdr:rowOff>
    </xdr:from>
    <xdr:to>
      <xdr:col>7</xdr:col>
      <xdr:colOff>471805</xdr:colOff>
      <xdr:row>25</xdr:row>
      <xdr:rowOff>43815</xdr:rowOff>
    </xdr:to>
    <xdr:graphicFrame>
      <xdr:nvGraphicFramePr>
        <xdr:cNvPr id="2" name="Диаграмма 1"/>
        <xdr:cNvGraphicFramePr/>
      </xdr:nvGraphicFramePr>
      <xdr:xfrm>
        <a:off x="107315" y="1929765"/>
        <a:ext cx="486791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106680</xdr:colOff>
      <xdr:row>6</xdr:row>
      <xdr:rowOff>137160</xdr:rowOff>
    </xdr:from>
    <xdr:to>
      <xdr:col>7</xdr:col>
      <xdr:colOff>419100</xdr:colOff>
      <xdr:row>21</xdr:row>
      <xdr:rowOff>140970</xdr:rowOff>
    </xdr:to>
    <xdr:graphicFrame>
      <xdr:nvGraphicFramePr>
        <xdr:cNvPr id="6" name="Диаграмма 5"/>
        <xdr:cNvGraphicFramePr/>
      </xdr:nvGraphicFramePr>
      <xdr:xfrm>
        <a:off x="106680" y="1282065"/>
        <a:ext cx="4632960" cy="274701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"/>
  <sheetViews>
    <sheetView zoomScale="160" zoomScaleNormal="160" workbookViewId="0">
      <selection activeCell="E5" sqref="E5"/>
    </sheetView>
  </sheetViews>
  <sheetFormatPr defaultColWidth="9.44444444444444" defaultRowHeight="14.4" outlineLevelRow="5"/>
  <cols>
    <col min="1" max="1" width="12.8888888888889"/>
    <col min="2" max="2" width="14.1111111111111"/>
  </cols>
  <sheetData>
    <row r="1" spans="1:9">
      <c r="A1" s="4" t="s">
        <v>0</v>
      </c>
      <c r="B1" s="75" t="s">
        <v>1</v>
      </c>
      <c r="C1" s="75" t="s">
        <v>2</v>
      </c>
      <c r="D1" s="3" t="s">
        <v>3</v>
      </c>
      <c r="F1" s="4" t="s">
        <v>0</v>
      </c>
      <c r="G1" s="75" t="s">
        <v>1</v>
      </c>
      <c r="H1" s="75" t="s">
        <v>2</v>
      </c>
      <c r="I1" s="3" t="s">
        <v>3</v>
      </c>
    </row>
    <row r="2" ht="15.15" spans="1:9">
      <c r="A2" s="76">
        <v>2.00000329787227</v>
      </c>
      <c r="B2" s="77">
        <v>-7.00000174835801</v>
      </c>
      <c r="C2" s="71">
        <v>2</v>
      </c>
      <c r="D2" s="78">
        <f>A2*A2+B2*B2+2*C2*C2+A2*B2+2*A2*C2+3*B2*C2+3*B2*C2-A2</f>
        <v>-30.9999999999918</v>
      </c>
      <c r="F2" s="76">
        <v>1</v>
      </c>
      <c r="G2" s="77">
        <v>-6.50000000000002</v>
      </c>
      <c r="H2" s="71">
        <v>2</v>
      </c>
      <c r="I2" s="78">
        <f>F2*F2+G2*G2+2*H2*H2+F2*G2+2*F2*H2+3*G2*H2+3*G2*H2-F2</f>
        <v>-30.25</v>
      </c>
    </row>
    <row r="5" spans="1:4">
      <c r="A5" s="4" t="s">
        <v>0</v>
      </c>
      <c r="B5" s="75" t="s">
        <v>1</v>
      </c>
      <c r="C5" s="75" t="s">
        <v>2</v>
      </c>
      <c r="D5" s="3" t="s">
        <v>3</v>
      </c>
    </row>
    <row r="6" ht="15.15" spans="1:4">
      <c r="A6" s="76">
        <v>1</v>
      </c>
      <c r="B6" s="77">
        <v>-8</v>
      </c>
      <c r="C6" s="71">
        <v>2</v>
      </c>
      <c r="D6" s="78">
        <f>A6*A6+B6*B6+2*C6*C6+A6*B6+2*A6*C6+3*B6*C6+3*B6*C6-A6</f>
        <v>-28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"/>
  <sheetViews>
    <sheetView workbookViewId="0">
      <selection activeCell="A10" sqref="A10"/>
    </sheetView>
  </sheetViews>
  <sheetFormatPr defaultColWidth="9" defaultRowHeight="14.4" outlineLevelRow="3" outlineLevelCol="1"/>
  <cols>
    <col min="1" max="1" width="34.5555555555556" customWidth="1"/>
    <col min="2" max="2" width="21.5555555555556" customWidth="1"/>
  </cols>
  <sheetData>
    <row r="1" spans="1:1">
      <c r="A1" t="s">
        <v>4</v>
      </c>
    </row>
    <row r="2" spans="1:2">
      <c r="A2" s="73" t="s">
        <v>5</v>
      </c>
      <c r="B2">
        <v>1.49999996911053</v>
      </c>
    </row>
    <row r="3" spans="1:2">
      <c r="A3" s="73" t="s">
        <v>6</v>
      </c>
      <c r="B3" s="74">
        <f>2*B2*B2+3*B2-9</f>
        <v>-2.78005195752939e-7</v>
      </c>
    </row>
    <row r="4" spans="1:1">
      <c r="A4" s="73" t="s">
        <v>7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9"/>
  <sheetViews>
    <sheetView workbookViewId="0">
      <selection activeCell="E11" sqref="E11"/>
    </sheetView>
  </sheetViews>
  <sheetFormatPr defaultColWidth="9" defaultRowHeight="14.4"/>
  <sheetData>
    <row r="1" ht="15.15" spans="1:15">
      <c r="A1" s="67" t="s">
        <v>8</v>
      </c>
      <c r="B1" s="67" t="s">
        <v>9</v>
      </c>
      <c r="C1" s="67" t="s">
        <v>10</v>
      </c>
      <c r="D1" s="67" t="s">
        <v>11</v>
      </c>
      <c r="E1" s="67" t="s">
        <v>12</v>
      </c>
      <c r="F1" s="67" t="s">
        <v>13</v>
      </c>
      <c r="G1" s="67" t="s">
        <v>14</v>
      </c>
      <c r="H1" s="67" t="s">
        <v>15</v>
      </c>
      <c r="I1" s="67" t="s">
        <v>16</v>
      </c>
      <c r="L1" s="67" t="s">
        <v>9</v>
      </c>
      <c r="M1" s="67" t="s">
        <v>17</v>
      </c>
      <c r="N1" s="67"/>
      <c r="O1" s="67"/>
    </row>
    <row r="2" spans="1:15">
      <c r="A2" s="68">
        <v>0</v>
      </c>
      <c r="B2" s="69">
        <v>0.6</v>
      </c>
      <c r="C2" s="69">
        <v>0.5646</v>
      </c>
      <c r="D2" s="69">
        <f>C3-C2</f>
        <v>0.0796</v>
      </c>
      <c r="E2" s="69">
        <f>D3-D2</f>
        <v>-0.00639999999999996</v>
      </c>
      <c r="F2" s="69">
        <f>E3-E2</f>
        <v>-0.000900000000000123</v>
      </c>
      <c r="G2" s="69">
        <f>F3-F2</f>
        <v>0.000500000000000278</v>
      </c>
      <c r="H2" s="69">
        <f t="shared" ref="E2:I3" si="0">G3-G2</f>
        <v>-0.000900000000000567</v>
      </c>
      <c r="I2" s="72">
        <f t="shared" si="0"/>
        <v>0.00170000000000115</v>
      </c>
      <c r="L2" s="68">
        <v>0.95</v>
      </c>
      <c r="M2" s="69">
        <f>10*L2-12</f>
        <v>-2.5</v>
      </c>
      <c r="N2" s="69">
        <v>0.8134</v>
      </c>
      <c r="O2" s="72">
        <f t="shared" ref="O2:O17" si="1">$N$7+$O$19*(L2-$L$7)</f>
        <v>0.81665</v>
      </c>
    </row>
    <row r="3" spans="1:15">
      <c r="A3" s="8">
        <v>1</v>
      </c>
      <c r="B3" s="70">
        <v>0.7</v>
      </c>
      <c r="C3" s="70">
        <v>0.6442</v>
      </c>
      <c r="D3" s="70">
        <f t="shared" ref="D3:G7" si="2">C4-C3</f>
        <v>0.0732</v>
      </c>
      <c r="E3" s="70">
        <f t="shared" si="2"/>
        <v>-0.00730000000000008</v>
      </c>
      <c r="F3" s="70">
        <f t="shared" si="2"/>
        <v>-0.000399999999999845</v>
      </c>
      <c r="G3" s="70">
        <f t="shared" si="2"/>
        <v>-0.000400000000000289</v>
      </c>
      <c r="H3" s="70">
        <f t="shared" si="0"/>
        <v>0.000800000000000578</v>
      </c>
      <c r="I3" s="9"/>
      <c r="L3" s="8">
        <v>0.96</v>
      </c>
      <c r="M3" s="70">
        <f t="shared" ref="M3:M17" si="3">10*L3-12</f>
        <v>-2.4</v>
      </c>
      <c r="N3" s="70">
        <v>0.81919</v>
      </c>
      <c r="O3" s="9">
        <f t="shared" si="1"/>
        <v>0.82162</v>
      </c>
    </row>
    <row r="4" spans="1:15">
      <c r="A4" s="8">
        <v>2</v>
      </c>
      <c r="B4" s="70">
        <v>0.8</v>
      </c>
      <c r="C4" s="70">
        <v>0.7174</v>
      </c>
      <c r="D4" s="70">
        <f t="shared" si="2"/>
        <v>0.0659</v>
      </c>
      <c r="E4" s="70">
        <f t="shared" si="2"/>
        <v>-0.00769999999999993</v>
      </c>
      <c r="F4" s="70">
        <f t="shared" si="2"/>
        <v>-0.000800000000000134</v>
      </c>
      <c r="G4" s="70">
        <f t="shared" si="2"/>
        <v>0.000400000000000289</v>
      </c>
      <c r="H4" s="70"/>
      <c r="I4" s="9"/>
      <c r="L4" s="8">
        <v>0.97</v>
      </c>
      <c r="M4" s="70">
        <f t="shared" si="3"/>
        <v>-2.3</v>
      </c>
      <c r="N4" s="70">
        <v>0.82489</v>
      </c>
      <c r="O4" s="9">
        <f t="shared" si="1"/>
        <v>0.82659</v>
      </c>
    </row>
    <row r="5" spans="1:15">
      <c r="A5" s="8">
        <v>3</v>
      </c>
      <c r="B5" s="70">
        <v>0.9</v>
      </c>
      <c r="C5" s="70">
        <v>0.7833</v>
      </c>
      <c r="D5" s="70">
        <f t="shared" si="2"/>
        <v>0.0582</v>
      </c>
      <c r="E5" s="70">
        <f t="shared" si="2"/>
        <v>-0.00850000000000006</v>
      </c>
      <c r="F5" s="70">
        <f t="shared" si="2"/>
        <v>-0.000399999999999845</v>
      </c>
      <c r="G5" s="70"/>
      <c r="H5" s="70"/>
      <c r="I5" s="9"/>
      <c r="L5" s="8">
        <v>0.98</v>
      </c>
      <c r="M5" s="70">
        <f t="shared" si="3"/>
        <v>-2.2</v>
      </c>
      <c r="N5" s="70">
        <v>0.83051</v>
      </c>
      <c r="O5" s="9">
        <f t="shared" si="1"/>
        <v>0.83156</v>
      </c>
    </row>
    <row r="6" spans="1:15">
      <c r="A6" s="8">
        <v>4</v>
      </c>
      <c r="B6" s="70">
        <v>1</v>
      </c>
      <c r="C6" s="70">
        <v>0.8415</v>
      </c>
      <c r="D6" s="70">
        <f t="shared" si="2"/>
        <v>0.0497</v>
      </c>
      <c r="E6" s="70">
        <f t="shared" si="2"/>
        <v>-0.00889999999999991</v>
      </c>
      <c r="F6" s="70"/>
      <c r="G6" s="70"/>
      <c r="H6" s="70"/>
      <c r="I6" s="9"/>
      <c r="L6" s="8">
        <v>0.99</v>
      </c>
      <c r="M6" s="70">
        <f t="shared" si="3"/>
        <v>-2.1</v>
      </c>
      <c r="N6" s="70">
        <v>0.83605</v>
      </c>
      <c r="O6" s="9">
        <f t="shared" si="1"/>
        <v>0.83653</v>
      </c>
    </row>
    <row r="7" spans="1:15">
      <c r="A7" s="8">
        <v>5</v>
      </c>
      <c r="B7" s="70">
        <v>1.1</v>
      </c>
      <c r="C7" s="70">
        <v>0.8912</v>
      </c>
      <c r="D7" s="70">
        <f t="shared" si="2"/>
        <v>0.0408000000000001</v>
      </c>
      <c r="E7" s="70"/>
      <c r="F7" s="70"/>
      <c r="G7" s="70"/>
      <c r="H7" s="70"/>
      <c r="I7" s="9"/>
      <c r="L7" s="8">
        <v>1</v>
      </c>
      <c r="M7" s="70">
        <f t="shared" si="3"/>
        <v>-2</v>
      </c>
      <c r="N7" s="70">
        <v>0.8415</v>
      </c>
      <c r="O7" s="9">
        <f t="shared" si="1"/>
        <v>0.8415</v>
      </c>
    </row>
    <row r="8" ht="15.15" spans="1:15">
      <c r="A8" s="10">
        <v>6</v>
      </c>
      <c r="B8" s="71">
        <v>1.2</v>
      </c>
      <c r="C8" s="71">
        <v>0.932</v>
      </c>
      <c r="D8" s="71"/>
      <c r="E8" s="71"/>
      <c r="F8" s="71"/>
      <c r="G8" s="71"/>
      <c r="H8" s="71"/>
      <c r="I8" s="7"/>
      <c r="L8" s="8">
        <v>1.01</v>
      </c>
      <c r="M8" s="70">
        <f t="shared" si="3"/>
        <v>-1.9</v>
      </c>
      <c r="N8" s="70">
        <v>0.84687</v>
      </c>
      <c r="O8" s="9">
        <f t="shared" si="1"/>
        <v>0.84647</v>
      </c>
    </row>
    <row r="9" spans="12:15">
      <c r="L9" s="8">
        <v>1.02</v>
      </c>
      <c r="M9" s="70">
        <f t="shared" si="3"/>
        <v>-1.8</v>
      </c>
      <c r="N9" s="70">
        <v>0.85215</v>
      </c>
      <c r="O9" s="9">
        <f t="shared" si="1"/>
        <v>0.85144</v>
      </c>
    </row>
    <row r="10" spans="12:15">
      <c r="L10" s="8">
        <v>1.03</v>
      </c>
      <c r="M10" s="70">
        <f t="shared" si="3"/>
        <v>-1.7</v>
      </c>
      <c r="N10" s="70">
        <v>0.85734</v>
      </c>
      <c r="O10" s="9">
        <f t="shared" si="1"/>
        <v>0.85641</v>
      </c>
    </row>
    <row r="11" spans="12:15">
      <c r="L11" s="8">
        <v>1.04</v>
      </c>
      <c r="M11" s="70">
        <f t="shared" si="3"/>
        <v>-1.6</v>
      </c>
      <c r="N11" s="70">
        <v>0.86245</v>
      </c>
      <c r="O11" s="9">
        <f t="shared" si="1"/>
        <v>0.86138</v>
      </c>
    </row>
    <row r="12" spans="12:15">
      <c r="L12" s="8">
        <v>1.05</v>
      </c>
      <c r="M12" s="70">
        <f t="shared" si="3"/>
        <v>-1.5</v>
      </c>
      <c r="N12" s="70">
        <f>(N7+N17)/2</f>
        <v>0.86635</v>
      </c>
      <c r="O12" s="9">
        <f t="shared" si="1"/>
        <v>0.86635</v>
      </c>
    </row>
    <row r="13" spans="12:15">
      <c r="L13" s="8">
        <v>1.06</v>
      </c>
      <c r="M13" s="70">
        <f t="shared" si="3"/>
        <v>-1.4</v>
      </c>
      <c r="N13" s="70">
        <v>0.8724</v>
      </c>
      <c r="O13" s="9">
        <f t="shared" si="1"/>
        <v>0.87132</v>
      </c>
    </row>
    <row r="14" spans="12:15">
      <c r="L14" s="8">
        <v>1.07</v>
      </c>
      <c r="M14" s="70">
        <f t="shared" si="3"/>
        <v>-1.3</v>
      </c>
      <c r="N14" s="70">
        <v>0.87723</v>
      </c>
      <c r="O14" s="9">
        <f t="shared" si="1"/>
        <v>0.87629</v>
      </c>
    </row>
    <row r="15" spans="12:15">
      <c r="L15" s="8">
        <v>1.08</v>
      </c>
      <c r="M15" s="70">
        <f t="shared" si="3"/>
        <v>-1.2</v>
      </c>
      <c r="N15" s="70">
        <v>0.88198</v>
      </c>
      <c r="O15" s="9">
        <f t="shared" si="1"/>
        <v>0.88126</v>
      </c>
    </row>
    <row r="16" spans="12:15">
      <c r="L16" s="8">
        <v>1.09</v>
      </c>
      <c r="M16" s="70">
        <f t="shared" si="3"/>
        <v>-1.1</v>
      </c>
      <c r="N16" s="70">
        <v>0.88664</v>
      </c>
      <c r="O16" s="9">
        <f t="shared" si="1"/>
        <v>0.88623</v>
      </c>
    </row>
    <row r="17" ht="15.15" spans="12:15">
      <c r="L17" s="10">
        <v>1.1</v>
      </c>
      <c r="M17" s="71">
        <f t="shared" si="3"/>
        <v>-1</v>
      </c>
      <c r="N17" s="71">
        <v>0.8912</v>
      </c>
      <c r="O17" s="7">
        <f t="shared" si="1"/>
        <v>0.8912</v>
      </c>
    </row>
    <row r="19" spans="15:15">
      <c r="O19" s="61">
        <f>(N17-N7)/(L17-L7)</f>
        <v>0.496999999999999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82"/>
  <sheetViews>
    <sheetView zoomScale="130" zoomScaleNormal="130" topLeftCell="A5" workbookViewId="0">
      <selection activeCell="I15" sqref="I15"/>
    </sheetView>
  </sheetViews>
  <sheetFormatPr defaultColWidth="9" defaultRowHeight="14.4"/>
  <cols>
    <col min="3" max="3" width="10.7777777777778" customWidth="1"/>
    <col min="4" max="6" width="9" customWidth="1"/>
    <col min="7" max="7" width="9.88888888888889" customWidth="1"/>
    <col min="9" max="9" width="22.2222222222222" customWidth="1"/>
    <col min="10" max="10" width="15.2037037037037" customWidth="1"/>
    <col min="11" max="11" width="16" customWidth="1"/>
    <col min="13" max="13" width="12.8888888888889"/>
    <col min="14" max="14" width="20.5555555555556" customWidth="1"/>
  </cols>
  <sheetData>
    <row r="1" ht="15.15" spans="1:14">
      <c r="A1" s="37" t="s">
        <v>18</v>
      </c>
      <c r="B1" s="38" t="s">
        <v>0</v>
      </c>
      <c r="C1" s="37" t="s">
        <v>19</v>
      </c>
      <c r="D1" s="39" t="s">
        <v>20</v>
      </c>
      <c r="E1" s="40"/>
      <c r="F1" s="41" t="s">
        <v>21</v>
      </c>
      <c r="G1" s="42"/>
      <c r="H1" s="37" t="s">
        <v>22</v>
      </c>
      <c r="I1" s="54" t="s">
        <v>23</v>
      </c>
      <c r="J1" s="37" t="s">
        <v>24</v>
      </c>
      <c r="L1" s="55" t="s">
        <v>9</v>
      </c>
      <c r="M1" s="55" t="s">
        <v>25</v>
      </c>
      <c r="N1" s="55" t="s">
        <v>26</v>
      </c>
    </row>
    <row r="2" ht="15.15" spans="1:14">
      <c r="A2" s="43"/>
      <c r="B2" s="44" t="s">
        <v>1</v>
      </c>
      <c r="C2" s="43" t="s">
        <v>27</v>
      </c>
      <c r="D2" s="45"/>
      <c r="E2" s="46"/>
      <c r="F2" s="47"/>
      <c r="G2" s="48"/>
      <c r="H2" s="43"/>
      <c r="I2" s="56" t="s">
        <v>28</v>
      </c>
      <c r="J2" s="43" t="s">
        <v>29</v>
      </c>
      <c r="L2" s="57">
        <v>0</v>
      </c>
      <c r="M2" s="58"/>
      <c r="N2" s="59">
        <f>2+SIN(3*L2)</f>
        <v>2</v>
      </c>
    </row>
    <row r="3" spans="1:14">
      <c r="A3" s="37">
        <v>1</v>
      </c>
      <c r="B3" s="49">
        <v>2</v>
      </c>
      <c r="C3" s="27">
        <f>B3-COS(B4)-2</f>
        <v>0.416146836547143</v>
      </c>
      <c r="D3" s="27">
        <v>1</v>
      </c>
      <c r="E3" s="27">
        <f>SIN(B4)</f>
        <v>0.909297426825682</v>
      </c>
      <c r="F3" s="27" cm="1">
        <f t="array" ref="F3:G4">MINVERSE(D3:E4)</f>
        <v>0.276301016927708</v>
      </c>
      <c r="G3" s="27">
        <v>-0.251239803721684</v>
      </c>
      <c r="H3" s="27">
        <f>F3*C3+G3*C4</f>
        <v>0.0447814992049294</v>
      </c>
      <c r="I3" s="27">
        <f>B3-H3</f>
        <v>1.95521850079507</v>
      </c>
      <c r="J3" s="28">
        <f t="shared" ref="J3:J10" si="0">H3</f>
        <v>0.0447814992049294</v>
      </c>
      <c r="L3" s="60">
        <v>0.05</v>
      </c>
      <c r="M3" s="61"/>
      <c r="N3" s="62">
        <f t="shared" ref="N3:N66" si="1">2+SIN(3*L3)</f>
        <v>2.1494381324736</v>
      </c>
    </row>
    <row r="4" ht="15.15" spans="1:14">
      <c r="A4" s="43"/>
      <c r="B4" s="50">
        <v>2</v>
      </c>
      <c r="C4" s="30">
        <f>B4-SIN(3*B3)-2</f>
        <v>0.279415498198926</v>
      </c>
      <c r="D4" s="30">
        <f>-3*COS(3*B3)</f>
        <v>-2.8805108599511</v>
      </c>
      <c r="E4" s="30">
        <v>1</v>
      </c>
      <c r="F4" s="30">
        <v>0.795888079875794</v>
      </c>
      <c r="G4" s="30">
        <v>0.276301016927708</v>
      </c>
      <c r="H4" s="30">
        <f>F4*C3+G4*C4</f>
        <v>0.408409092983617</v>
      </c>
      <c r="I4" s="30">
        <f t="shared" ref="I3:I10" si="2">B4-H4</f>
        <v>1.59159090701638</v>
      </c>
      <c r="J4" s="31">
        <f t="shared" si="0"/>
        <v>0.408409092983617</v>
      </c>
      <c r="L4" s="60">
        <v>0.1</v>
      </c>
      <c r="M4" s="61"/>
      <c r="N4" s="62">
        <f t="shared" si="1"/>
        <v>2.29552020666134</v>
      </c>
    </row>
    <row r="5" spans="1:14">
      <c r="A5" s="37">
        <v>2</v>
      </c>
      <c r="B5" s="51">
        <v>1.9552</v>
      </c>
      <c r="C5" s="30">
        <f>B5-COS(B6)-2</f>
        <v>-0.023997827375819</v>
      </c>
      <c r="D5" s="30">
        <v>1</v>
      </c>
      <c r="E5" s="30">
        <f>SIN(B6)</f>
        <v>0.999783611395043</v>
      </c>
      <c r="F5" s="30" cm="1">
        <f t="array" ref="F5:G6">MINVERSE(D5:E6)</f>
        <v>0.267263962621767</v>
      </c>
      <c r="G5" s="30">
        <v>-0.26720612974574</v>
      </c>
      <c r="H5" s="30">
        <f>F5*C5+G5*C6</f>
        <v>-0.00565340259501592</v>
      </c>
      <c r="I5" s="30">
        <f t="shared" si="2"/>
        <v>1.96085340259502</v>
      </c>
      <c r="J5" s="31">
        <f t="shared" si="0"/>
        <v>-0.00565340259501592</v>
      </c>
      <c r="L5" s="60">
        <v>0.15</v>
      </c>
      <c r="M5" s="61"/>
      <c r="N5" s="62">
        <f t="shared" si="1"/>
        <v>2.43496553411123</v>
      </c>
    </row>
    <row r="6" ht="15.15" spans="1:14">
      <c r="A6" s="43"/>
      <c r="B6" s="51">
        <v>1.5916</v>
      </c>
      <c r="C6" s="30">
        <f>B6-SIN(3*B5)-2</f>
        <v>-0.00284556287867388</v>
      </c>
      <c r="D6" s="30">
        <f>-3*COS(3*B5)</f>
        <v>-2.74221268080739</v>
      </c>
      <c r="E6" s="30">
        <v>1</v>
      </c>
      <c r="F6" s="30">
        <v>0.732894627424242</v>
      </c>
      <c r="G6" s="30">
        <v>0.267263962621767</v>
      </c>
      <c r="H6" s="30">
        <f>F6*C5+G6*C6</f>
        <v>-0.0183483951644359</v>
      </c>
      <c r="I6" s="30">
        <f t="shared" si="2"/>
        <v>1.60994839516444</v>
      </c>
      <c r="J6" s="31">
        <f t="shared" si="0"/>
        <v>-0.0183483951644359</v>
      </c>
      <c r="L6" s="60">
        <v>0.2</v>
      </c>
      <c r="M6" s="61"/>
      <c r="N6" s="62">
        <f t="shared" si="1"/>
        <v>2.56464247339504</v>
      </c>
    </row>
    <row r="7" spans="1:14">
      <c r="A7" s="37">
        <v>3</v>
      </c>
      <c r="B7" s="51">
        <v>1.9609</v>
      </c>
      <c r="C7" s="30">
        <f>B7-COS(B8)-2</f>
        <v>-6.29158625597981e-6</v>
      </c>
      <c r="D7" s="30">
        <v>1</v>
      </c>
      <c r="E7" s="30">
        <f>SIN(B8)</f>
        <v>0.999235548788403</v>
      </c>
      <c r="F7" s="30" cm="1">
        <f t="array" ref="F7:G8">MINVERSE(D7:E8)</f>
        <v>0.265921815465826</v>
      </c>
      <c r="G7" s="30">
        <v>-0.265718531211803</v>
      </c>
      <c r="H7" s="30">
        <f>F7*C7+G7*C8</f>
        <v>6.06926779405942e-5</v>
      </c>
      <c r="I7" s="30">
        <f t="shared" si="2"/>
        <v>1.96083930732206</v>
      </c>
      <c r="J7" s="31">
        <f t="shared" si="0"/>
        <v>6.06926779405942e-5</v>
      </c>
      <c r="L7" s="60">
        <v>0.25</v>
      </c>
      <c r="M7" s="61"/>
      <c r="N7" s="62">
        <f t="shared" si="1"/>
        <v>2.68163876002333</v>
      </c>
    </row>
    <row r="8" ht="15.15" spans="1:14">
      <c r="A8" s="43"/>
      <c r="B8" s="51">
        <v>1.6099</v>
      </c>
      <c r="C8" s="30">
        <f>B8-SIN(3*B7)-2</f>
        <v>-0.000234706054167644</v>
      </c>
      <c r="D8" s="30">
        <f>-3*COS(3*B7)</f>
        <v>-2.76261569408211</v>
      </c>
      <c r="E8" s="30">
        <v>1</v>
      </c>
      <c r="F8" s="30">
        <v>0.734639780804697</v>
      </c>
      <c r="G8" s="30">
        <v>0.265921815465826</v>
      </c>
      <c r="H8" s="30">
        <f>F8*C7+G8*C8</f>
        <v>-6.70355095730872e-5</v>
      </c>
      <c r="I8" s="30">
        <f t="shared" si="2"/>
        <v>1.60996703550957</v>
      </c>
      <c r="J8" s="31">
        <f t="shared" si="0"/>
        <v>-6.70355095730872e-5</v>
      </c>
      <c r="L8" s="60">
        <v>0.3</v>
      </c>
      <c r="M8" s="61"/>
      <c r="N8" s="62">
        <f t="shared" si="1"/>
        <v>2.78332690962748</v>
      </c>
    </row>
    <row r="9" spans="1:14">
      <c r="A9" s="37">
        <v>4</v>
      </c>
      <c r="B9" s="52">
        <v>1.9608</v>
      </c>
      <c r="C9" s="30">
        <f>B9-COS(B10)-2</f>
        <v>-6.36822701216566e-6</v>
      </c>
      <c r="D9" s="30">
        <v>1</v>
      </c>
      <c r="E9" s="30">
        <f>SIN(B10)</f>
        <v>0.999231634421391</v>
      </c>
      <c r="F9" s="30" cm="1">
        <f t="array" ref="F9:G10">MINVERSE(D9:E10)</f>
        <v>0.265947384526711</v>
      </c>
      <c r="G9" s="30">
        <v>-0.265743039710719</v>
      </c>
      <c r="H9" s="30">
        <f>F9*C9+G9*C10</f>
        <v>-3.93063429450274e-5</v>
      </c>
      <c r="I9" s="63">
        <f t="shared" si="2"/>
        <v>1.96083930634295</v>
      </c>
      <c r="J9" s="31">
        <f t="shared" si="0"/>
        <v>-3.93063429450274e-5</v>
      </c>
      <c r="L9" s="60">
        <v>0.35</v>
      </c>
      <c r="M9" s="61"/>
      <c r="N9" s="62">
        <f t="shared" si="1"/>
        <v>2.86742322559402</v>
      </c>
    </row>
    <row r="10" ht="15.15" spans="1:14">
      <c r="A10" s="43"/>
      <c r="B10" s="53">
        <v>1.61</v>
      </c>
      <c r="C10" s="34">
        <f>B10-SIN(3*B9)-2</f>
        <v>0.000141537967158101</v>
      </c>
      <c r="D10" s="34">
        <f>-3*COS(3*B9)</f>
        <v>-2.76226469100512</v>
      </c>
      <c r="E10" s="34">
        <v>1</v>
      </c>
      <c r="F10" s="34">
        <v>0.734617069943293</v>
      </c>
      <c r="G10" s="34">
        <v>0.265947384526711</v>
      </c>
      <c r="H10" s="34">
        <f>F10*C9+G10*C10</f>
        <v>3.29634439085135e-5</v>
      </c>
      <c r="I10" s="33">
        <f t="shared" si="2"/>
        <v>1.60996703655609</v>
      </c>
      <c r="J10" s="35">
        <f t="shared" si="0"/>
        <v>3.29634439085135e-5</v>
      </c>
      <c r="L10" s="60">
        <v>0.4</v>
      </c>
      <c r="M10" s="61"/>
      <c r="N10" s="62">
        <f t="shared" si="1"/>
        <v>2.93203908596723</v>
      </c>
    </row>
    <row r="11" spans="12:14">
      <c r="L11" s="60">
        <v>0.45</v>
      </c>
      <c r="M11" s="61"/>
      <c r="N11" s="62">
        <f t="shared" si="1"/>
        <v>2.97572335782666</v>
      </c>
    </row>
    <row r="12" spans="12:14">
      <c r="L12" s="60">
        <v>0.5</v>
      </c>
      <c r="M12" s="61"/>
      <c r="N12" s="62">
        <f t="shared" si="1"/>
        <v>2.99749498660405</v>
      </c>
    </row>
    <row r="13" spans="12:14">
      <c r="L13" s="60">
        <v>0.55</v>
      </c>
      <c r="M13" s="61"/>
      <c r="N13" s="62">
        <f t="shared" si="1"/>
        <v>2.99686502845392</v>
      </c>
    </row>
    <row r="14" spans="12:14">
      <c r="L14" s="60">
        <v>0.6</v>
      </c>
      <c r="M14" s="61"/>
      <c r="N14" s="62">
        <f t="shared" si="1"/>
        <v>2.97384763087819</v>
      </c>
    </row>
    <row r="15" spans="12:14">
      <c r="L15" s="60">
        <v>0.65</v>
      </c>
      <c r="M15" s="61"/>
      <c r="N15" s="62">
        <f t="shared" si="1"/>
        <v>2.92895971500387</v>
      </c>
    </row>
    <row r="16" spans="12:14">
      <c r="L16" s="60">
        <v>0.7</v>
      </c>
      <c r="M16" s="61"/>
      <c r="N16" s="62">
        <f t="shared" si="1"/>
        <v>2.86320936664887</v>
      </c>
    </row>
    <row r="17" spans="12:14">
      <c r="L17" s="60">
        <v>0.75</v>
      </c>
      <c r="M17" s="61"/>
      <c r="N17" s="62">
        <f t="shared" si="1"/>
        <v>2.77807319688792</v>
      </c>
    </row>
    <row r="18" spans="12:14">
      <c r="L18" s="60">
        <v>0.8</v>
      </c>
      <c r="M18" s="61"/>
      <c r="N18" s="62">
        <f t="shared" si="1"/>
        <v>2.67546318055115</v>
      </c>
    </row>
    <row r="19" spans="12:14">
      <c r="L19" s="60">
        <v>0.85</v>
      </c>
      <c r="M19" s="61"/>
      <c r="N19" s="62">
        <f t="shared" si="1"/>
        <v>2.55768371739142</v>
      </c>
    </row>
    <row r="20" spans="12:14">
      <c r="L20" s="60">
        <v>0.9</v>
      </c>
      <c r="M20" s="61"/>
      <c r="N20" s="62">
        <f t="shared" si="1"/>
        <v>2.42737988023383</v>
      </c>
    </row>
    <row r="21" spans="12:14">
      <c r="L21" s="60">
        <v>0.95</v>
      </c>
      <c r="M21" s="61"/>
      <c r="N21" s="62">
        <f t="shared" si="1"/>
        <v>2.28747801234254</v>
      </c>
    </row>
    <row r="22" spans="12:14">
      <c r="L22" s="60">
        <v>1</v>
      </c>
      <c r="M22" s="61">
        <f t="shared" ref="M22:M62" si="3">ACOS(L22-2)</f>
        <v>3.14159265358979</v>
      </c>
      <c r="N22" s="62">
        <f t="shared" si="1"/>
        <v>2.14112000805987</v>
      </c>
    </row>
    <row r="23" spans="12:14">
      <c r="L23" s="60">
        <v>1.05</v>
      </c>
      <c r="M23" s="61">
        <f t="shared" si="3"/>
        <v>2.82403222429827</v>
      </c>
      <c r="N23" s="62">
        <f t="shared" si="1"/>
        <v>1.99159275263285</v>
      </c>
    </row>
    <row r="24" spans="12:14">
      <c r="L24" s="60">
        <v>1.1</v>
      </c>
      <c r="M24" s="61">
        <f t="shared" si="3"/>
        <v>2.69056584179353</v>
      </c>
      <c r="N24" s="62">
        <f t="shared" si="1"/>
        <v>1.84225430585675</v>
      </c>
    </row>
    <row r="25" spans="12:14">
      <c r="L25" s="60">
        <v>1.15</v>
      </c>
      <c r="M25" s="61">
        <f t="shared" si="3"/>
        <v>2.58678162060972</v>
      </c>
      <c r="N25" s="62">
        <f t="shared" si="1"/>
        <v>1.69645848729157</v>
      </c>
    </row>
    <row r="26" spans="12:14">
      <c r="L26" s="60">
        <v>1.2</v>
      </c>
      <c r="M26" s="61">
        <f t="shared" si="3"/>
        <v>2.49809154479651</v>
      </c>
      <c r="N26" s="62">
        <f t="shared" si="1"/>
        <v>1.55747955670515</v>
      </c>
    </row>
    <row r="27" spans="12:14">
      <c r="L27" s="60">
        <v>1.25</v>
      </c>
      <c r="M27" s="61">
        <f t="shared" si="3"/>
        <v>2.41885840577638</v>
      </c>
      <c r="N27" s="62">
        <f t="shared" si="1"/>
        <v>1.42843868125766</v>
      </c>
    </row>
    <row r="28" spans="12:14">
      <c r="L28" s="60">
        <v>1.3</v>
      </c>
      <c r="M28" s="61">
        <f t="shared" si="3"/>
        <v>2.34619382340565</v>
      </c>
      <c r="N28" s="62">
        <f t="shared" si="1"/>
        <v>1.31223384081603</v>
      </c>
    </row>
    <row r="29" spans="12:14">
      <c r="L29" s="60">
        <v>1.35</v>
      </c>
      <c r="M29" s="61">
        <f t="shared" si="3"/>
        <v>2.27838076352025</v>
      </c>
      <c r="N29" s="62">
        <f t="shared" si="1"/>
        <v>1.2114747455738</v>
      </c>
    </row>
    <row r="30" spans="12:14">
      <c r="L30" s="60">
        <v>1.4</v>
      </c>
      <c r="M30" s="61">
        <f t="shared" si="3"/>
        <v>2.21429743558818</v>
      </c>
      <c r="N30" s="62">
        <f t="shared" si="1"/>
        <v>1.12842422758641</v>
      </c>
    </row>
    <row r="31" spans="12:14">
      <c r="L31" s="60">
        <v>1.45</v>
      </c>
      <c r="M31" s="61">
        <f t="shared" si="3"/>
        <v>2.15316056466364</v>
      </c>
      <c r="N31" s="62">
        <f t="shared" si="1"/>
        <v>1.06494742244155</v>
      </c>
    </row>
    <row r="32" spans="12:14">
      <c r="L32" s="60">
        <v>1.5</v>
      </c>
      <c r="M32" s="61">
        <f t="shared" si="3"/>
        <v>2.0943951023932</v>
      </c>
      <c r="N32" s="62">
        <f t="shared" si="1"/>
        <v>1.0224698823349</v>
      </c>
    </row>
    <row r="33" spans="12:14">
      <c r="L33" s="60">
        <v>1.55</v>
      </c>
      <c r="M33" s="61">
        <f t="shared" si="3"/>
        <v>2.03756166584219</v>
      </c>
      <c r="N33" s="62">
        <f t="shared" si="1"/>
        <v>1.00194556124112</v>
      </c>
    </row>
    <row r="34" spans="12:14">
      <c r="L34" s="60">
        <v>1.6</v>
      </c>
      <c r="M34" s="61">
        <f t="shared" si="3"/>
        <v>1.98231317286238</v>
      </c>
      <c r="N34" s="62">
        <f t="shared" si="1"/>
        <v>1.00383539116416</v>
      </c>
    </row>
    <row r="35" spans="12:14">
      <c r="L35" s="60">
        <v>1.65</v>
      </c>
      <c r="M35" s="61">
        <f t="shared" si="3"/>
        <v>1.92836743044041</v>
      </c>
      <c r="N35" s="62">
        <f t="shared" si="1"/>
        <v>1.02809693059818</v>
      </c>
    </row>
    <row r="36" spans="12:14">
      <c r="L36" s="60">
        <v>1.7</v>
      </c>
      <c r="M36" s="61">
        <f t="shared" si="3"/>
        <v>1.87548898081029</v>
      </c>
      <c r="N36" s="62">
        <f t="shared" si="1"/>
        <v>1.07418531767227</v>
      </c>
    </row>
    <row r="37" spans="12:14">
      <c r="L37" s="60">
        <v>1.75</v>
      </c>
      <c r="M37" s="61">
        <f t="shared" si="3"/>
        <v>1.82347658193698</v>
      </c>
      <c r="N37" s="62">
        <f t="shared" si="1"/>
        <v>1.14106550657341</v>
      </c>
    </row>
    <row r="38" spans="12:14">
      <c r="L38" s="60">
        <v>1.8</v>
      </c>
      <c r="M38" s="61">
        <f t="shared" si="3"/>
        <v>1.77215424758523</v>
      </c>
      <c r="N38" s="62">
        <f t="shared" si="1"/>
        <v>1.22723551244401</v>
      </c>
    </row>
    <row r="39" spans="12:14">
      <c r="L39" s="60">
        <v>1.85</v>
      </c>
      <c r="M39" s="61">
        <f t="shared" si="3"/>
        <v>1.72136459957158</v>
      </c>
      <c r="N39" s="62">
        <f t="shared" si="1"/>
        <v>1.33076014272374</v>
      </c>
    </row>
    <row r="40" spans="12:14">
      <c r="L40" s="60">
        <v>1.9</v>
      </c>
      <c r="M40" s="61">
        <f t="shared" si="3"/>
        <v>1.67096374795646</v>
      </c>
      <c r="N40" s="62">
        <f t="shared" si="1"/>
        <v>1.44931445740236</v>
      </c>
    </row>
    <row r="41" spans="12:14">
      <c r="L41" s="60">
        <v>1.95</v>
      </c>
      <c r="M41" s="61">
        <f t="shared" si="3"/>
        <v>1.62081718360067</v>
      </c>
      <c r="N41" s="62">
        <f t="shared" si="1"/>
        <v>1.58023598216014</v>
      </c>
    </row>
    <row r="42" spans="12:14">
      <c r="L42" s="60">
        <v>2</v>
      </c>
      <c r="M42" s="61">
        <f t="shared" si="3"/>
        <v>1.5707963267949</v>
      </c>
      <c r="N42" s="62">
        <f t="shared" si="1"/>
        <v>1.72058450180107</v>
      </c>
    </row>
    <row r="43" spans="12:14">
      <c r="L43" s="60">
        <v>2.05</v>
      </c>
      <c r="M43" s="61">
        <f t="shared" si="3"/>
        <v>1.52077546998913</v>
      </c>
      <c r="N43" s="62">
        <f t="shared" si="1"/>
        <v>1.86720809114748</v>
      </c>
    </row>
    <row r="44" spans="12:14">
      <c r="L44" s="60">
        <v>2.1</v>
      </c>
      <c r="M44" s="61">
        <f t="shared" si="3"/>
        <v>1.47062890563334</v>
      </c>
      <c r="N44" s="62">
        <f t="shared" si="1"/>
        <v>2.01681390048435</v>
      </c>
    </row>
    <row r="45" spans="12:14">
      <c r="L45" s="60">
        <v>2.15</v>
      </c>
      <c r="M45" s="61">
        <f t="shared" si="3"/>
        <v>1.42022805401821</v>
      </c>
      <c r="N45" s="62">
        <f t="shared" si="1"/>
        <v>2.16604210586496</v>
      </c>
    </row>
    <row r="46" spans="12:14">
      <c r="L46" s="60">
        <v>2.2</v>
      </c>
      <c r="M46" s="61">
        <f t="shared" si="3"/>
        <v>1.36943840600457</v>
      </c>
      <c r="N46" s="62">
        <f t="shared" si="1"/>
        <v>2.31154136351338</v>
      </c>
    </row>
    <row r="47" spans="12:14">
      <c r="L47" s="60">
        <v>2.25</v>
      </c>
      <c r="M47" s="61">
        <f t="shared" si="3"/>
        <v>1.31811607165282</v>
      </c>
      <c r="N47" s="62">
        <f t="shared" si="1"/>
        <v>2.45004407378062</v>
      </c>
    </row>
    <row r="48" spans="12:14">
      <c r="L48" s="60">
        <v>2.3</v>
      </c>
      <c r="M48" s="61">
        <f t="shared" si="3"/>
        <v>1.2661036727795</v>
      </c>
      <c r="N48" s="62">
        <f t="shared" si="1"/>
        <v>2.5784397643882</v>
      </c>
    </row>
    <row r="49" spans="12:14">
      <c r="L49" s="60">
        <v>2.35</v>
      </c>
      <c r="M49" s="61">
        <f t="shared" si="3"/>
        <v>1.21322522314939</v>
      </c>
      <c r="N49" s="62">
        <f t="shared" si="1"/>
        <v>2.69384494492976</v>
      </c>
    </row>
    <row r="50" spans="12:14">
      <c r="L50" s="60">
        <v>2.4</v>
      </c>
      <c r="M50" s="61">
        <f t="shared" si="3"/>
        <v>1.15927948072741</v>
      </c>
      <c r="N50" s="62">
        <f t="shared" si="1"/>
        <v>2.79366786384915</v>
      </c>
    </row>
    <row r="51" spans="12:14">
      <c r="L51" s="60">
        <v>2.45</v>
      </c>
      <c r="M51" s="61">
        <f t="shared" si="3"/>
        <v>1.1040309877476</v>
      </c>
      <c r="N51" s="62">
        <f t="shared" si="1"/>
        <v>2.87566671359288</v>
      </c>
    </row>
    <row r="52" spans="12:14">
      <c r="L52" s="60">
        <v>2.5</v>
      </c>
      <c r="M52" s="61">
        <f t="shared" si="3"/>
        <v>1.0471975511966</v>
      </c>
      <c r="N52" s="62">
        <f t="shared" si="1"/>
        <v>2.93799997677474</v>
      </c>
    </row>
    <row r="53" spans="12:14">
      <c r="L53" s="60">
        <v>2.55</v>
      </c>
      <c r="M53" s="61">
        <f t="shared" si="3"/>
        <v>0.988432088926153</v>
      </c>
      <c r="N53" s="62">
        <f t="shared" si="1"/>
        <v>2.9792677826862</v>
      </c>
    </row>
    <row r="54" spans="12:14">
      <c r="L54" s="60">
        <v>2.6</v>
      </c>
      <c r="M54" s="61">
        <f t="shared" si="3"/>
        <v>0.927295218001612</v>
      </c>
      <c r="N54" s="62">
        <f t="shared" si="1"/>
        <v>2.9985433453746</v>
      </c>
    </row>
    <row r="55" spans="12:14">
      <c r="L55" s="60">
        <v>2.65</v>
      </c>
      <c r="M55" s="61">
        <f t="shared" si="3"/>
        <v>0.863211890069541</v>
      </c>
      <c r="N55" s="62">
        <f t="shared" si="1"/>
        <v>2.99539377725762</v>
      </c>
    </row>
    <row r="56" spans="12:14">
      <c r="L56" s="60">
        <v>2.7</v>
      </c>
      <c r="M56" s="61">
        <f t="shared" si="3"/>
        <v>0.795398830184143</v>
      </c>
      <c r="N56" s="62">
        <f t="shared" si="1"/>
        <v>2.96988981084509</v>
      </c>
    </row>
    <row r="57" spans="12:14">
      <c r="L57" s="60">
        <v>2.75</v>
      </c>
      <c r="M57" s="61">
        <f t="shared" si="3"/>
        <v>0.722734247813416</v>
      </c>
      <c r="N57" s="62">
        <f t="shared" si="1"/>
        <v>2.92260421023934</v>
      </c>
    </row>
    <row r="58" spans="12:14">
      <c r="L58" s="60">
        <v>2.8</v>
      </c>
      <c r="M58" s="61">
        <f t="shared" si="3"/>
        <v>0.643501108793285</v>
      </c>
      <c r="N58" s="62">
        <f t="shared" si="1"/>
        <v>2.85459890808828</v>
      </c>
    </row>
    <row r="59" spans="12:14">
      <c r="L59" s="60">
        <v>2.85</v>
      </c>
      <c r="M59" s="61">
        <f t="shared" si="3"/>
        <v>0.554811032980071</v>
      </c>
      <c r="N59" s="62">
        <f t="shared" si="1"/>
        <v>2.76740115686749</v>
      </c>
    </row>
    <row r="60" spans="12:14">
      <c r="L60" s="60">
        <v>2.9</v>
      </c>
      <c r="M60" s="61">
        <f t="shared" si="3"/>
        <v>0.451026811796263</v>
      </c>
      <c r="N60" s="62">
        <f t="shared" si="1"/>
        <v>2.66296923008218</v>
      </c>
    </row>
    <row r="61" spans="12:14">
      <c r="L61" s="60">
        <v>2.95</v>
      </c>
      <c r="M61" s="61">
        <f t="shared" si="3"/>
        <v>0.317560429291521</v>
      </c>
      <c r="N61" s="62">
        <f t="shared" si="1"/>
        <v>2.54364844366609</v>
      </c>
    </row>
    <row r="62" spans="12:14">
      <c r="L62" s="60">
        <v>3</v>
      </c>
      <c r="M62" s="61">
        <f t="shared" si="3"/>
        <v>0</v>
      </c>
      <c r="N62" s="62">
        <f t="shared" si="1"/>
        <v>2.41211848524176</v>
      </c>
    </row>
    <row r="63" spans="12:14">
      <c r="L63" s="60">
        <v>3.05</v>
      </c>
      <c r="M63" s="61"/>
      <c r="N63" s="62">
        <f t="shared" si="1"/>
        <v>2.27133323411363</v>
      </c>
    </row>
    <row r="64" spans="12:14">
      <c r="L64" s="60">
        <v>3.1</v>
      </c>
      <c r="M64" s="61"/>
      <c r="N64" s="62">
        <f t="shared" si="1"/>
        <v>2.12445442350706</v>
      </c>
    </row>
    <row r="65" spans="12:14">
      <c r="L65" s="60">
        <v>3.15</v>
      </c>
      <c r="M65" s="61"/>
      <c r="N65" s="62">
        <f t="shared" si="1"/>
        <v>1.97478063485634</v>
      </c>
    </row>
    <row r="66" spans="12:14">
      <c r="L66" s="60">
        <v>3.2</v>
      </c>
      <c r="M66" s="61"/>
      <c r="N66" s="62">
        <f t="shared" si="1"/>
        <v>1.82567321877702</v>
      </c>
    </row>
    <row r="67" spans="12:14">
      <c r="L67" s="60">
        <v>3.25</v>
      </c>
      <c r="M67" s="61"/>
      <c r="N67" s="62">
        <f t="shared" ref="N67:N82" si="4">2+SIN(3*L67)</f>
        <v>1.68048080637773</v>
      </c>
    </row>
    <row r="68" spans="12:14">
      <c r="L68" s="60">
        <v>3.3</v>
      </c>
      <c r="M68" s="61"/>
      <c r="N68" s="62">
        <f t="shared" si="4"/>
        <v>1.54246410622468</v>
      </c>
    </row>
    <row r="69" spans="12:14">
      <c r="L69" s="60">
        <v>3.35</v>
      </c>
      <c r="M69" s="61"/>
      <c r="N69" s="62">
        <f t="shared" si="4"/>
        <v>1.41472267585696</v>
      </c>
    </row>
    <row r="70" spans="12:14">
      <c r="L70" s="60">
        <v>3.4</v>
      </c>
      <c r="M70" s="61"/>
      <c r="N70" s="62">
        <f t="shared" si="4"/>
        <v>1.30012531240646</v>
      </c>
    </row>
    <row r="71" spans="12:14">
      <c r="L71" s="60">
        <v>3.45</v>
      </c>
      <c r="M71" s="61"/>
      <c r="N71" s="62">
        <f t="shared" si="4"/>
        <v>1.201245625599</v>
      </c>
    </row>
    <row r="72" spans="12:14">
      <c r="L72" s="60">
        <v>3.5</v>
      </c>
      <c r="M72" s="61"/>
      <c r="N72" s="62">
        <f t="shared" si="4"/>
        <v>1.12030424002833</v>
      </c>
    </row>
    <row r="73" spans="12:14">
      <c r="L73" s="60">
        <v>3.55</v>
      </c>
      <c r="M73" s="61"/>
      <c r="N73" s="62">
        <f t="shared" si="4"/>
        <v>1.05911892471509</v>
      </c>
    </row>
    <row r="74" spans="12:14">
      <c r="L74" s="60">
        <v>3.6</v>
      </c>
      <c r="M74" s="61"/>
      <c r="N74" s="62">
        <f t="shared" si="4"/>
        <v>1.01906376993351</v>
      </c>
    </row>
    <row r="75" spans="12:14">
      <c r="L75" s="60">
        <v>3.65</v>
      </c>
      <c r="M75" s="61"/>
      <c r="N75" s="62">
        <f t="shared" si="4"/>
        <v>1.00103832810618</v>
      </c>
    </row>
    <row r="76" spans="12:14">
      <c r="L76" s="60">
        <v>3.7</v>
      </c>
      <c r="M76" s="61"/>
      <c r="N76" s="62">
        <f t="shared" si="4"/>
        <v>1.00544741179601</v>
      </c>
    </row>
    <row r="77" spans="12:14">
      <c r="L77" s="60">
        <v>3.75</v>
      </c>
      <c r="M77" s="61"/>
      <c r="N77" s="62">
        <f t="shared" si="4"/>
        <v>1.03219200248874</v>
      </c>
    </row>
    <row r="78" spans="12:14">
      <c r="L78" s="60">
        <v>3.8</v>
      </c>
      <c r="M78" s="61"/>
      <c r="N78" s="62">
        <f t="shared" si="4"/>
        <v>1.08067147433532</v>
      </c>
    </row>
    <row r="79" spans="12:14">
      <c r="L79" s="60">
        <v>3.85</v>
      </c>
      <c r="M79" s="61"/>
      <c r="N79" s="62">
        <f t="shared" si="4"/>
        <v>1.14979708291363</v>
      </c>
    </row>
    <row r="80" spans="12:14">
      <c r="L80" s="60">
        <v>3.9</v>
      </c>
      <c r="M80" s="61"/>
      <c r="N80" s="62">
        <f t="shared" si="4"/>
        <v>1.23801641608097</v>
      </c>
    </row>
    <row r="81" spans="12:14">
      <c r="L81" s="60">
        <v>3.95</v>
      </c>
      <c r="M81" s="61"/>
      <c r="N81" s="62">
        <f t="shared" si="4"/>
        <v>1.34334825780399</v>
      </c>
    </row>
    <row r="82" ht="15.15" spans="12:14">
      <c r="L82" s="64">
        <v>4</v>
      </c>
      <c r="M82" s="65"/>
      <c r="N82" s="66">
        <f t="shared" si="4"/>
        <v>1.46342708199957</v>
      </c>
    </row>
  </sheetData>
  <mergeCells count="8">
    <mergeCell ref="A1:A2"/>
    <mergeCell ref="A3:A4"/>
    <mergeCell ref="A5:A6"/>
    <mergeCell ref="A7:A8"/>
    <mergeCell ref="A9:A10"/>
    <mergeCell ref="H1:H2"/>
    <mergeCell ref="D1:E2"/>
    <mergeCell ref="F1:G2"/>
  </mergeCells>
  <pageMargins left="0.7" right="0.7" top="0.75" bottom="0.75" header="0.3" footer="0.3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98"/>
  <sheetViews>
    <sheetView workbookViewId="0">
      <selection activeCell="B103" sqref="B103"/>
    </sheetView>
  </sheetViews>
  <sheetFormatPr defaultColWidth="12.4444444444444" defaultRowHeight="14.4"/>
  <cols>
    <col min="12" max="12" width="12.4444444444444" customWidth="1"/>
  </cols>
  <sheetData>
    <row r="1" ht="15.15" spans="1:12">
      <c r="A1" s="22" t="s">
        <v>18</v>
      </c>
      <c r="B1" s="23" t="s">
        <v>30</v>
      </c>
      <c r="C1" s="23" t="s">
        <v>31</v>
      </c>
      <c r="D1" s="23" t="s">
        <v>32</v>
      </c>
      <c r="E1" s="23" t="s">
        <v>33</v>
      </c>
      <c r="F1" s="23" t="s">
        <v>34</v>
      </c>
      <c r="G1" s="23" t="s">
        <v>35</v>
      </c>
      <c r="H1" s="23" t="s">
        <v>36</v>
      </c>
      <c r="I1" s="23" t="s">
        <v>37</v>
      </c>
      <c r="J1" s="23" t="s">
        <v>38</v>
      </c>
      <c r="K1" s="23" t="s">
        <v>39</v>
      </c>
      <c r="L1" s="24" t="s">
        <v>40</v>
      </c>
    </row>
    <row r="2" spans="1:12">
      <c r="A2" s="25">
        <v>1</v>
      </c>
      <c r="B2" s="26">
        <v>2</v>
      </c>
      <c r="C2" s="26">
        <v>2</v>
      </c>
      <c r="D2" s="27">
        <f>B2-COS(C2)-2</f>
        <v>0.416146836547143</v>
      </c>
      <c r="E2" s="27">
        <v>1</v>
      </c>
      <c r="F2" s="27">
        <f>B2-D2</f>
        <v>1.58385316345286</v>
      </c>
      <c r="G2" s="27">
        <f>-SIN(3*F2)</f>
        <v>0.999232933659386</v>
      </c>
      <c r="H2" s="27">
        <v>1</v>
      </c>
      <c r="I2" s="27">
        <f>SIN(C2)</f>
        <v>0.909297426825682</v>
      </c>
      <c r="J2" s="27">
        <f>-3*COS(3*F2)</f>
        <v>-0.117481482005115</v>
      </c>
      <c r="K2" s="27">
        <f>G2*E2/(E2*H2-I2*J2)</f>
        <v>0.902791664084417</v>
      </c>
      <c r="L2" s="28">
        <f>(D2-K2*I2)/E2</f>
        <v>-0.404759300564493</v>
      </c>
    </row>
    <row r="3" ht="22.2" customHeight="1" spans="1:12">
      <c r="A3" s="29">
        <v>2</v>
      </c>
      <c r="B3" s="30">
        <f>B2-L2</f>
        <v>2.40475930056449</v>
      </c>
      <c r="C3" s="30">
        <f>C2-K2</f>
        <v>1.09720833591558</v>
      </c>
      <c r="D3" s="30">
        <f>B3-COS(C3)-2</f>
        <v>-0.0513230016841231</v>
      </c>
      <c r="E3" s="30">
        <v>2</v>
      </c>
      <c r="F3" s="30">
        <f t="shared" ref="F3" si="0">B3-D3</f>
        <v>2.45608230224862</v>
      </c>
      <c r="G3" s="30">
        <f>C3-SIN(3*F3)-2</f>
        <v>-1.78712383846344</v>
      </c>
      <c r="H3" s="30">
        <v>2</v>
      </c>
      <c r="I3" s="30">
        <f>SIN(C3)</f>
        <v>0.889937600944921</v>
      </c>
      <c r="J3" s="30">
        <f>-3*COS(3*F3)</f>
        <v>-1.40057468498564</v>
      </c>
      <c r="K3" s="30">
        <f>G3*E3/(E3*H3-I3*J3)</f>
        <v>-0.681273115890568</v>
      </c>
      <c r="L3" s="31">
        <f>(D3-K3*I3)/E3</f>
        <v>0.2774837803299</v>
      </c>
    </row>
    <row r="4" spans="1:12">
      <c r="A4" s="29">
        <v>3</v>
      </c>
      <c r="B4" s="30">
        <f t="shared" ref="B4:B21" si="1">B3-L3</f>
        <v>2.12727552023459</v>
      </c>
      <c r="C4" s="30">
        <f t="shared" ref="C4:C21" si="2">C3-K3</f>
        <v>1.77848145180615</v>
      </c>
      <c r="D4" s="30">
        <f t="shared" ref="D4:D21" si="3">B4-COS(C4)-2</f>
        <v>0.333470844268813</v>
      </c>
      <c r="E4" s="30">
        <v>3</v>
      </c>
      <c r="F4" s="30">
        <f t="shared" ref="F4:F21" si="4">B4-D4</f>
        <v>1.79380467596578</v>
      </c>
      <c r="G4" s="30">
        <f t="shared" ref="G4:G21" si="5">C4-SIN(3*F4)-2</f>
        <v>0.562908176899863</v>
      </c>
      <c r="H4" s="30">
        <v>3</v>
      </c>
      <c r="I4" s="30">
        <f t="shared" ref="I4:I21" si="6">SIN(C4)</f>
        <v>0.978510852441823</v>
      </c>
      <c r="J4" s="30">
        <f t="shared" ref="J4:J21" si="7">-3*COS(3*F4)</f>
        <v>-1.86066450942366</v>
      </c>
      <c r="K4" s="30">
        <f t="shared" ref="K4:K21" si="8">G4*E4/(E4*H4-I4*J4)</f>
        <v>0.156064541775358</v>
      </c>
      <c r="L4" s="31">
        <f t="shared" ref="L4:L21" si="9">(D4-K4*I4)/E4</f>
        <v>0.0602533321534216</v>
      </c>
    </row>
    <row r="5" spans="1:12">
      <c r="A5" s="29">
        <v>4</v>
      </c>
      <c r="B5" s="30">
        <f t="shared" si="1"/>
        <v>2.06702218808117</v>
      </c>
      <c r="C5" s="30">
        <f t="shared" si="2"/>
        <v>1.62241691003079</v>
      </c>
      <c r="D5" s="30">
        <f t="shared" si="3"/>
        <v>0.118619848942343</v>
      </c>
      <c r="E5" s="30">
        <v>4</v>
      </c>
      <c r="F5" s="30">
        <f t="shared" si="4"/>
        <v>1.94840233913883</v>
      </c>
      <c r="G5" s="30">
        <f t="shared" si="5"/>
        <v>0.0465263601699535</v>
      </c>
      <c r="H5" s="30">
        <v>4</v>
      </c>
      <c r="I5" s="30">
        <f t="shared" si="6"/>
        <v>0.998667953522919</v>
      </c>
      <c r="J5" s="30">
        <f t="shared" si="7"/>
        <v>-2.71683281942852</v>
      </c>
      <c r="K5" s="30">
        <f t="shared" si="8"/>
        <v>0.00994513513041409</v>
      </c>
      <c r="L5" s="31">
        <f t="shared" si="9"/>
        <v>0.027171990298536</v>
      </c>
    </row>
    <row r="6" spans="1:12">
      <c r="A6" s="29">
        <v>5</v>
      </c>
      <c r="B6" s="30">
        <f t="shared" si="1"/>
        <v>2.03985019778263</v>
      </c>
      <c r="C6" s="30">
        <f t="shared" si="2"/>
        <v>1.61247177490038</v>
      </c>
      <c r="D6" s="30">
        <f t="shared" si="3"/>
        <v>0.0815135829841895</v>
      </c>
      <c r="E6" s="30">
        <v>5</v>
      </c>
      <c r="F6" s="30">
        <f t="shared" si="4"/>
        <v>1.95833661479845</v>
      </c>
      <c r="G6" s="30">
        <f t="shared" si="5"/>
        <v>0.00940711926833426</v>
      </c>
      <c r="H6" s="30">
        <v>5</v>
      </c>
      <c r="I6" s="30">
        <f t="shared" si="6"/>
        <v>0.999131704197973</v>
      </c>
      <c r="J6" s="30">
        <f t="shared" si="7"/>
        <v>-2.75353972034606</v>
      </c>
      <c r="K6" s="30">
        <f t="shared" si="8"/>
        <v>0.00169490627664102</v>
      </c>
      <c r="L6" s="31">
        <f t="shared" si="9"/>
        <v>0.0159640296775107</v>
      </c>
    </row>
    <row r="7" spans="1:12">
      <c r="A7" s="29">
        <v>6</v>
      </c>
      <c r="B7" s="30">
        <f t="shared" si="1"/>
        <v>2.02388616810512</v>
      </c>
      <c r="C7" s="30">
        <f t="shared" si="2"/>
        <v>1.61077686862374</v>
      </c>
      <c r="D7" s="30">
        <f t="shared" si="3"/>
        <v>0.0638560596774926</v>
      </c>
      <c r="E7" s="30">
        <v>6</v>
      </c>
      <c r="F7" s="30">
        <f t="shared" si="4"/>
        <v>1.96003010842763</v>
      </c>
      <c r="G7" s="30">
        <f t="shared" si="5"/>
        <v>0.00304400838281982</v>
      </c>
      <c r="H7" s="30">
        <v>6</v>
      </c>
      <c r="I7" s="30">
        <f t="shared" si="6"/>
        <v>0.999200884591128</v>
      </c>
      <c r="J7" s="30">
        <f t="shared" si="7"/>
        <v>-2.75955402548801</v>
      </c>
      <c r="K7" s="30">
        <f t="shared" si="8"/>
        <v>0.000471240960783106</v>
      </c>
      <c r="L7" s="31">
        <f t="shared" si="9"/>
        <v>0.0105641992154371</v>
      </c>
    </row>
    <row r="8" spans="1:12">
      <c r="A8" s="29">
        <v>7</v>
      </c>
      <c r="B8" s="30">
        <f t="shared" si="1"/>
        <v>2.01332196888969</v>
      </c>
      <c r="C8" s="30">
        <f t="shared" si="2"/>
        <v>1.61030562766296</v>
      </c>
      <c r="D8" s="30">
        <f t="shared" si="3"/>
        <v>0.0528209916565947</v>
      </c>
      <c r="E8" s="30">
        <v>7</v>
      </c>
      <c r="F8" s="30">
        <f t="shared" si="4"/>
        <v>1.96050097723309</v>
      </c>
      <c r="G8" s="30">
        <f t="shared" si="5"/>
        <v>0.001272988570578</v>
      </c>
      <c r="H8" s="30">
        <v>7</v>
      </c>
      <c r="I8" s="30">
        <f t="shared" si="6"/>
        <v>0.999219609095248</v>
      </c>
      <c r="J8" s="30">
        <f t="shared" si="7"/>
        <v>-2.76121362888574</v>
      </c>
      <c r="K8" s="30">
        <f t="shared" si="8"/>
        <v>0.000172161553941347</v>
      </c>
      <c r="L8" s="31">
        <f t="shared" si="9"/>
        <v>0.00752128063656631</v>
      </c>
    </row>
    <row r="9" spans="1:12">
      <c r="A9" s="29">
        <v>8</v>
      </c>
      <c r="B9" s="30">
        <f t="shared" si="1"/>
        <v>2.00580068825312</v>
      </c>
      <c r="C9" s="30">
        <f t="shared" si="2"/>
        <v>1.61013346610901</v>
      </c>
      <c r="D9" s="30">
        <f t="shared" si="3"/>
        <v>0.0451276832348806</v>
      </c>
      <c r="E9" s="30">
        <v>8</v>
      </c>
      <c r="F9" s="30">
        <f t="shared" si="4"/>
        <v>1.96067300501824</v>
      </c>
      <c r="G9" s="30">
        <f t="shared" si="5"/>
        <v>0.000625769507305307</v>
      </c>
      <c r="H9" s="30">
        <v>8</v>
      </c>
      <c r="I9" s="30">
        <f t="shared" si="6"/>
        <v>0.999226394500118</v>
      </c>
      <c r="J9" s="30">
        <f t="shared" si="7"/>
        <v>-2.76181857638772</v>
      </c>
      <c r="K9" s="30">
        <f t="shared" si="8"/>
        <v>7.49877157453601e-5</v>
      </c>
      <c r="L9" s="31">
        <f t="shared" si="9"/>
        <v>0.00563159419125557</v>
      </c>
    </row>
    <row r="10" spans="1:12">
      <c r="A10" s="29">
        <v>9</v>
      </c>
      <c r="B10" s="30">
        <f t="shared" si="1"/>
        <v>2.00016909406187</v>
      </c>
      <c r="C10" s="30">
        <f t="shared" si="2"/>
        <v>1.61005847839327</v>
      </c>
      <c r="D10" s="30">
        <f t="shared" si="3"/>
        <v>0.0394211592282883</v>
      </c>
      <c r="E10" s="30">
        <v>9</v>
      </c>
      <c r="F10" s="30">
        <f t="shared" si="4"/>
        <v>1.96074793483358</v>
      </c>
      <c r="G10" s="30">
        <f t="shared" si="5"/>
        <v>0.000343829371534987</v>
      </c>
      <c r="H10" s="30">
        <v>9</v>
      </c>
      <c r="I10" s="30">
        <f t="shared" si="6"/>
        <v>0.999229340732232</v>
      </c>
      <c r="J10" s="30">
        <f t="shared" si="7"/>
        <v>-2.7620818422534</v>
      </c>
      <c r="K10" s="30">
        <f t="shared" si="8"/>
        <v>3.69444373464552e-5</v>
      </c>
      <c r="L10" s="31">
        <f t="shared" si="9"/>
        <v>0.00437602702916831</v>
      </c>
    </row>
    <row r="11" spans="1:12">
      <c r="A11" s="29">
        <v>10</v>
      </c>
      <c r="B11" s="30">
        <f t="shared" si="1"/>
        <v>1.9957930670327</v>
      </c>
      <c r="C11" s="30">
        <f t="shared" si="2"/>
        <v>1.61002153395592</v>
      </c>
      <c r="D11" s="30">
        <f t="shared" si="3"/>
        <v>0.0350082162065672</v>
      </c>
      <c r="E11" s="30">
        <v>10</v>
      </c>
      <c r="F11" s="30">
        <f t="shared" si="4"/>
        <v>1.96078485082613</v>
      </c>
      <c r="G11" s="30">
        <f t="shared" si="5"/>
        <v>0.000204917548231265</v>
      </c>
      <c r="H11" s="30">
        <v>10</v>
      </c>
      <c r="I11" s="30">
        <f t="shared" si="6"/>
        <v>0.999230790195774</v>
      </c>
      <c r="J11" s="30">
        <f t="shared" si="7"/>
        <v>-2.7622114952545</v>
      </c>
      <c r="K11" s="30">
        <f t="shared" si="8"/>
        <v>1.99413560908881e-5</v>
      </c>
      <c r="L11" s="31">
        <f t="shared" si="9"/>
        <v>0.0034988290189563</v>
      </c>
    </row>
    <row r="12" spans="1:12">
      <c r="A12" s="29">
        <v>11</v>
      </c>
      <c r="B12" s="30">
        <f t="shared" si="1"/>
        <v>1.99229423801374</v>
      </c>
      <c r="C12" s="30">
        <f t="shared" si="2"/>
        <v>1.61000159259983</v>
      </c>
      <c r="D12" s="30">
        <f t="shared" si="3"/>
        <v>0.0314894611628111</v>
      </c>
      <c r="E12" s="30">
        <v>11</v>
      </c>
      <c r="F12" s="30">
        <f t="shared" si="4"/>
        <v>1.96080477685093</v>
      </c>
      <c r="G12" s="30">
        <f t="shared" si="5"/>
        <v>0.000129935600272635</v>
      </c>
      <c r="H12" s="30">
        <v>11</v>
      </c>
      <c r="I12" s="30">
        <f t="shared" si="6"/>
        <v>0.999231572000352</v>
      </c>
      <c r="J12" s="30">
        <f t="shared" si="7"/>
        <v>-2.76228146355319</v>
      </c>
      <c r="K12" s="30">
        <f t="shared" si="8"/>
        <v>1.15488830677837e-5</v>
      </c>
      <c r="L12" s="31">
        <f t="shared" si="9"/>
        <v>0.00286162919583895</v>
      </c>
    </row>
    <row r="13" spans="1:12">
      <c r="A13" s="29">
        <v>12</v>
      </c>
      <c r="B13" s="30">
        <f t="shared" si="1"/>
        <v>1.9894326088179</v>
      </c>
      <c r="C13" s="30">
        <f t="shared" si="2"/>
        <v>1.60999004371676</v>
      </c>
      <c r="D13" s="30">
        <f t="shared" si="3"/>
        <v>0.0286162919557755</v>
      </c>
      <c r="E13" s="30">
        <v>12</v>
      </c>
      <c r="F13" s="30">
        <f t="shared" si="4"/>
        <v>1.96081631686213</v>
      </c>
      <c r="G13" s="30">
        <f t="shared" si="5"/>
        <v>8.65097243996082e-5</v>
      </c>
      <c r="H13" s="30">
        <v>12</v>
      </c>
      <c r="I13" s="30">
        <f t="shared" si="6"/>
        <v>0.999232024594764</v>
      </c>
      <c r="J13" s="30">
        <f t="shared" si="7"/>
        <v>-2.76232198066684</v>
      </c>
      <c r="K13" s="30">
        <f t="shared" si="8"/>
        <v>7.07355733131308e-6</v>
      </c>
      <c r="L13" s="31">
        <f t="shared" si="9"/>
        <v>0.00238410198589686</v>
      </c>
    </row>
    <row r="14" spans="1:12">
      <c r="A14" s="29">
        <v>13</v>
      </c>
      <c r="B14" s="30">
        <f t="shared" si="1"/>
        <v>1.987048506832</v>
      </c>
      <c r="C14" s="30">
        <f t="shared" si="2"/>
        <v>1.60998297015943</v>
      </c>
      <c r="D14" s="30">
        <f t="shared" si="3"/>
        <v>0.0262251218438854</v>
      </c>
      <c r="E14" s="30">
        <v>13</v>
      </c>
      <c r="F14" s="30">
        <f t="shared" si="4"/>
        <v>1.96082338498812</v>
      </c>
      <c r="G14" s="30">
        <f t="shared" si="5"/>
        <v>5.99116395774146e-5</v>
      </c>
      <c r="H14" s="30">
        <v>13</v>
      </c>
      <c r="I14" s="30">
        <f t="shared" si="6"/>
        <v>0.999232301737795</v>
      </c>
      <c r="J14" s="30">
        <f t="shared" si="7"/>
        <v>-2.76234679530458</v>
      </c>
      <c r="K14" s="30">
        <f t="shared" si="8"/>
        <v>4.53452660129952e-6</v>
      </c>
      <c r="L14" s="31">
        <f t="shared" si="9"/>
        <v>0.00201696852295633</v>
      </c>
    </row>
    <row r="15" spans="1:12">
      <c r="A15" s="29">
        <v>14</v>
      </c>
      <c r="B15" s="30">
        <f t="shared" si="1"/>
        <v>1.98503153830905</v>
      </c>
      <c r="C15" s="30">
        <f t="shared" si="2"/>
        <v>1.60997843563283</v>
      </c>
      <c r="D15" s="30">
        <f t="shared" si="3"/>
        <v>0.0242036222750732</v>
      </c>
      <c r="E15" s="30">
        <v>14</v>
      </c>
      <c r="F15" s="30">
        <f t="shared" si="4"/>
        <v>1.96082791603398</v>
      </c>
      <c r="G15" s="30">
        <f t="shared" si="5"/>
        <v>4.28607569400441e-5</v>
      </c>
      <c r="H15" s="30">
        <v>14</v>
      </c>
      <c r="I15" s="30">
        <f t="shared" si="6"/>
        <v>0.999232479374924</v>
      </c>
      <c r="J15" s="30">
        <f t="shared" si="7"/>
        <v>-2.76236270215795</v>
      </c>
      <c r="K15" s="30">
        <f t="shared" si="8"/>
        <v>3.01896691972784e-6</v>
      </c>
      <c r="L15" s="31">
        <f t="shared" si="9"/>
        <v>0.00172861468751949</v>
      </c>
    </row>
    <row r="16" spans="1:12">
      <c r="A16" s="29">
        <v>15</v>
      </c>
      <c r="B16" s="30">
        <f t="shared" si="1"/>
        <v>1.98330292362153</v>
      </c>
      <c r="C16" s="30">
        <f t="shared" si="2"/>
        <v>1.60997541666591</v>
      </c>
      <c r="D16" s="30">
        <f t="shared" si="3"/>
        <v>0.022471990937575</v>
      </c>
      <c r="E16" s="30">
        <v>15</v>
      </c>
      <c r="F16" s="30">
        <f t="shared" si="4"/>
        <v>1.96083093268395</v>
      </c>
      <c r="G16" s="30">
        <f t="shared" si="5"/>
        <v>3.15086926603314e-5</v>
      </c>
      <c r="H16" s="30">
        <v>15</v>
      </c>
      <c r="I16" s="30">
        <f t="shared" si="6"/>
        <v>0.999232597629596</v>
      </c>
      <c r="J16" s="30">
        <f t="shared" si="7"/>
        <v>-2.76237329223539</v>
      </c>
      <c r="K16" s="30">
        <f t="shared" si="8"/>
        <v>2.07512233923906e-6</v>
      </c>
      <c r="L16" s="31">
        <f t="shared" si="9"/>
        <v>0.00149799449384597</v>
      </c>
    </row>
    <row r="17" spans="1:12">
      <c r="A17" s="29">
        <v>16</v>
      </c>
      <c r="B17" s="30">
        <f t="shared" si="1"/>
        <v>1.98180492912768</v>
      </c>
      <c r="C17" s="30">
        <f t="shared" si="2"/>
        <v>1.60997334154357</v>
      </c>
      <c r="D17" s="30">
        <f t="shared" si="3"/>
        <v>0.020971922913759</v>
      </c>
      <c r="E17" s="30">
        <v>16</v>
      </c>
      <c r="F17" s="30">
        <f t="shared" si="4"/>
        <v>1.96083300621392</v>
      </c>
      <c r="G17" s="30">
        <f t="shared" si="5"/>
        <v>2.37056989647044e-5</v>
      </c>
      <c r="H17" s="30">
        <v>16</v>
      </c>
      <c r="I17" s="30">
        <f t="shared" si="6"/>
        <v>0.999232678908052</v>
      </c>
      <c r="J17" s="30">
        <f t="shared" si="7"/>
        <v>-2.76238057131891</v>
      </c>
      <c r="K17" s="30">
        <f t="shared" si="8"/>
        <v>1.4658015185937e-6</v>
      </c>
      <c r="L17" s="31">
        <f t="shared" si="9"/>
        <v>0.0013106536398113</v>
      </c>
    </row>
    <row r="18" spans="1:12">
      <c r="A18" s="29">
        <v>17</v>
      </c>
      <c r="B18" s="30">
        <f t="shared" si="1"/>
        <v>1.98049427548787</v>
      </c>
      <c r="C18" s="30">
        <f t="shared" si="2"/>
        <v>1.60997187574205</v>
      </c>
      <c r="D18" s="30">
        <f t="shared" si="3"/>
        <v>0.0196598045971275</v>
      </c>
      <c r="E18" s="30">
        <v>17</v>
      </c>
      <c r="F18" s="30">
        <f t="shared" si="4"/>
        <v>1.96083447089074</v>
      </c>
      <c r="G18" s="30">
        <f t="shared" si="5"/>
        <v>1.81938988883523e-5</v>
      </c>
      <c r="H18" s="30">
        <v>17</v>
      </c>
      <c r="I18" s="30">
        <f t="shared" si="6"/>
        <v>0.999232736318017</v>
      </c>
      <c r="J18" s="30">
        <f t="shared" si="7"/>
        <v>-2.76238571297179</v>
      </c>
      <c r="K18" s="30">
        <f t="shared" si="8"/>
        <v>1.06010419134024e-6</v>
      </c>
      <c r="L18" s="31">
        <f t="shared" si="9"/>
        <v>0.00115639678272445</v>
      </c>
    </row>
    <row r="19" spans="1:12">
      <c r="A19" s="29">
        <v>18</v>
      </c>
      <c r="B19" s="30">
        <f t="shared" si="1"/>
        <v>1.97933787870515</v>
      </c>
      <c r="C19" s="30">
        <f t="shared" si="2"/>
        <v>1.60997081563786</v>
      </c>
      <c r="D19" s="30">
        <f t="shared" si="3"/>
        <v>0.0185023485235694</v>
      </c>
      <c r="E19" s="30">
        <v>18</v>
      </c>
      <c r="F19" s="30">
        <f t="shared" si="4"/>
        <v>1.96083553018158</v>
      </c>
      <c r="G19" s="30">
        <f t="shared" si="5"/>
        <v>1.42076228626387e-5</v>
      </c>
      <c r="H19" s="30">
        <v>18</v>
      </c>
      <c r="I19" s="30">
        <f t="shared" si="6"/>
        <v>0.999232777836997</v>
      </c>
      <c r="J19" s="30">
        <f t="shared" si="7"/>
        <v>-2.76238943151025</v>
      </c>
      <c r="K19" s="30">
        <f t="shared" si="8"/>
        <v>7.82644755057074e-7</v>
      </c>
      <c r="L19" s="31">
        <f t="shared" si="9"/>
        <v>0.00102786480440426</v>
      </c>
    </row>
    <row r="20" spans="1:12">
      <c r="A20" s="29">
        <v>19</v>
      </c>
      <c r="B20" s="30">
        <f t="shared" si="1"/>
        <v>1.97831001390074</v>
      </c>
      <c r="C20" s="30">
        <f t="shared" si="2"/>
        <v>1.60997003299311</v>
      </c>
      <c r="D20" s="30">
        <f t="shared" si="3"/>
        <v>0.0174737016748603</v>
      </c>
      <c r="E20" s="30">
        <v>19</v>
      </c>
      <c r="F20" s="30">
        <f t="shared" si="4"/>
        <v>1.96083631222588</v>
      </c>
      <c r="G20" s="30">
        <f t="shared" si="5"/>
        <v>1.12646661114546e-5</v>
      </c>
      <c r="H20" s="30">
        <v>19</v>
      </c>
      <c r="I20" s="30">
        <f t="shared" si="6"/>
        <v>0.999232808488558</v>
      </c>
      <c r="J20" s="30">
        <f t="shared" si="7"/>
        <v>-2.76239217678357</v>
      </c>
      <c r="K20" s="30">
        <f t="shared" si="8"/>
        <v>5.88378314144879e-7</v>
      </c>
      <c r="L20" s="31">
        <f t="shared" si="9"/>
        <v>0.000919637565681315</v>
      </c>
    </row>
    <row r="21" spans="1:12">
      <c r="A21" s="29">
        <v>20</v>
      </c>
      <c r="B21" s="30">
        <f t="shared" si="1"/>
        <v>1.97739037633506</v>
      </c>
      <c r="C21" s="30">
        <f t="shared" si="2"/>
        <v>1.60996944461479</v>
      </c>
      <c r="D21" s="30">
        <f t="shared" si="3"/>
        <v>0.0165534761822572</v>
      </c>
      <c r="E21" s="30">
        <v>20</v>
      </c>
      <c r="F21" s="30">
        <f t="shared" si="4"/>
        <v>1.9608369001528</v>
      </c>
      <c r="G21" s="30">
        <f t="shared" si="5"/>
        <v>9.05220246094629e-6</v>
      </c>
      <c r="H21" s="30">
        <v>20</v>
      </c>
      <c r="I21" s="30">
        <f t="shared" si="6"/>
        <v>0.99923283153145</v>
      </c>
      <c r="J21" s="30">
        <f t="shared" si="7"/>
        <v>-2.76239424062094</v>
      </c>
      <c r="K21" s="30">
        <f t="shared" si="8"/>
        <v>4.49508207358452e-7</v>
      </c>
      <c r="L21" s="31">
        <f t="shared" si="9"/>
        <v>0.000827651350944919</v>
      </c>
    </row>
    <row r="22" spans="1:12">
      <c r="A22" s="29">
        <v>21</v>
      </c>
      <c r="B22" s="30">
        <f t="shared" ref="B22:B58" si="10">B21-L21</f>
        <v>1.97656272498412</v>
      </c>
      <c r="C22" s="30">
        <f t="shared" ref="C22:C58" si="11">C21-K21</f>
        <v>1.60996899510659</v>
      </c>
      <c r="D22" s="30">
        <f t="shared" ref="D22:D58" si="12">B22-COS(C22)-2</f>
        <v>0.0157253756679494</v>
      </c>
      <c r="E22" s="30">
        <v>21</v>
      </c>
      <c r="F22" s="30">
        <f t="shared" ref="F22:F76" si="13">B22-D22</f>
        <v>1.96083734931617</v>
      </c>
      <c r="G22" s="30">
        <f t="shared" ref="G22:G58" si="14">C22-SIN(3*F22)-2</f>
        <v>7.36192761330301e-6</v>
      </c>
      <c r="H22" s="30">
        <v>21</v>
      </c>
      <c r="I22" s="30">
        <f t="shared" ref="I22:I58" si="15">SIN(C22)</f>
        <v>0.999232849135484</v>
      </c>
      <c r="J22" s="30">
        <f t="shared" ref="J22:J58" si="16">-3*COS(3*F22)</f>
        <v>-2.76239581734194</v>
      </c>
      <c r="K22" s="30">
        <f t="shared" ref="K22:K58" si="17">G22*E22/(E22*H22-I22*J22)</f>
        <v>3.48387379440311e-7</v>
      </c>
      <c r="L22" s="31">
        <f t="shared" ref="L22:L58" si="18">(D22-K22*I22)/E22</f>
        <v>0.000748810835611221</v>
      </c>
    </row>
    <row r="23" spans="1:12">
      <c r="A23" s="29">
        <v>22</v>
      </c>
      <c r="B23" s="30">
        <f t="shared" si="10"/>
        <v>1.97581391414851</v>
      </c>
      <c r="C23" s="30">
        <f t="shared" si="11"/>
        <v>1.60996864671921</v>
      </c>
      <c r="D23" s="30">
        <f t="shared" si="12"/>
        <v>0.0149762167122223</v>
      </c>
      <c r="E23" s="30">
        <v>22</v>
      </c>
      <c r="F23" s="30">
        <f t="shared" si="13"/>
        <v>1.96083769743628</v>
      </c>
      <c r="G23" s="30">
        <f t="shared" si="14"/>
        <v>6.0518944691168e-6</v>
      </c>
      <c r="H23" s="30">
        <v>22</v>
      </c>
      <c r="I23" s="30">
        <f t="shared" si="15"/>
        <v>0.999232862779196</v>
      </c>
      <c r="J23" s="30">
        <f t="shared" si="16"/>
        <v>-2.76239703936225</v>
      </c>
      <c r="K23" s="30">
        <f t="shared" si="17"/>
        <v>2.7352617780253e-7</v>
      </c>
      <c r="L23" s="31">
        <f t="shared" si="18"/>
        <v>0.000680724699812572</v>
      </c>
    </row>
    <row r="24" spans="1:12">
      <c r="A24" s="29">
        <v>23</v>
      </c>
      <c r="B24" s="30">
        <f t="shared" si="10"/>
        <v>1.97513318944869</v>
      </c>
      <c r="C24" s="30">
        <f t="shared" si="11"/>
        <v>1.60996837319303</v>
      </c>
      <c r="D24" s="30">
        <f t="shared" si="12"/>
        <v>0.0142952186960623</v>
      </c>
      <c r="E24" s="30">
        <v>23</v>
      </c>
      <c r="F24" s="30">
        <f t="shared" si="13"/>
        <v>1.96083797075263</v>
      </c>
      <c r="G24" s="30">
        <f t="shared" si="14"/>
        <v>5.0233598916094e-6</v>
      </c>
      <c r="H24" s="30">
        <v>23</v>
      </c>
      <c r="I24" s="30">
        <f t="shared" si="15"/>
        <v>0.999232873491074</v>
      </c>
      <c r="J24" s="30">
        <f t="shared" si="16"/>
        <v>-2.76239799879371</v>
      </c>
      <c r="K24" s="30">
        <f t="shared" si="17"/>
        <v>2.17273237760775e-7</v>
      </c>
      <c r="L24" s="31">
        <f t="shared" si="18"/>
        <v>0.000621521808239157</v>
      </c>
    </row>
    <row r="25" spans="1:12">
      <c r="A25" s="29">
        <v>24</v>
      </c>
      <c r="B25" s="30">
        <f t="shared" si="10"/>
        <v>1.97451166764045</v>
      </c>
      <c r="C25" s="30">
        <f t="shared" si="11"/>
        <v>1.60996815591979</v>
      </c>
      <c r="D25" s="30">
        <f t="shared" si="12"/>
        <v>0.0136734797812603</v>
      </c>
      <c r="E25" s="30">
        <v>24</v>
      </c>
      <c r="F25" s="30">
        <f t="shared" si="13"/>
        <v>1.96083818785919</v>
      </c>
      <c r="G25" s="30">
        <f t="shared" si="14"/>
        <v>4.20635183662199e-6</v>
      </c>
      <c r="H25" s="30">
        <v>24</v>
      </c>
      <c r="I25" s="30">
        <f t="shared" si="15"/>
        <v>0.999232881999911</v>
      </c>
      <c r="J25" s="30">
        <f t="shared" si="16"/>
        <v>-2.76239876090877</v>
      </c>
      <c r="K25" s="30">
        <f t="shared" si="17"/>
        <v>1.74428770639893e-7</v>
      </c>
      <c r="L25" s="31">
        <f t="shared" si="18"/>
        <v>0.000569721061929047</v>
      </c>
    </row>
    <row r="26" spans="1:12">
      <c r="A26" s="29">
        <v>25</v>
      </c>
      <c r="B26" s="30">
        <f t="shared" si="10"/>
        <v>1.97394194657852</v>
      </c>
      <c r="C26" s="30">
        <f t="shared" si="11"/>
        <v>1.60996798149102</v>
      </c>
      <c r="D26" s="30">
        <f t="shared" si="12"/>
        <v>0.0131035844243677</v>
      </c>
      <c r="E26" s="30">
        <v>25</v>
      </c>
      <c r="F26" s="30">
        <f t="shared" si="13"/>
        <v>1.96083836215416</v>
      </c>
      <c r="G26" s="30">
        <f t="shared" si="14"/>
        <v>3.55045082134353e-6</v>
      </c>
      <c r="H26" s="30">
        <v>25</v>
      </c>
      <c r="I26" s="30">
        <f t="shared" si="15"/>
        <v>0.999232888830843</v>
      </c>
      <c r="J26" s="30">
        <f t="shared" si="16"/>
        <v>-2.76239937274027</v>
      </c>
      <c r="K26" s="30">
        <f t="shared" si="17"/>
        <v>1.41393575411329e-7</v>
      </c>
      <c r="L26" s="31">
        <f t="shared" si="18"/>
        <v>0.000524137725570273</v>
      </c>
    </row>
    <row r="27" spans="1:12">
      <c r="A27" s="29">
        <v>26</v>
      </c>
      <c r="B27" s="30">
        <f t="shared" si="10"/>
        <v>1.97341780885295</v>
      </c>
      <c r="C27" s="30">
        <f t="shared" si="11"/>
        <v>1.60996784009744</v>
      </c>
      <c r="D27" s="30">
        <f t="shared" si="12"/>
        <v>0.012579305413686</v>
      </c>
      <c r="E27" s="30">
        <v>26</v>
      </c>
      <c r="F27" s="30">
        <f t="shared" si="13"/>
        <v>1.96083850343927</v>
      </c>
      <c r="G27" s="30">
        <f t="shared" si="14"/>
        <v>3.01877130803874e-6</v>
      </c>
      <c r="H27" s="30">
        <v>26</v>
      </c>
      <c r="I27" s="30">
        <f t="shared" si="15"/>
        <v>0.999232894368037</v>
      </c>
      <c r="J27" s="30">
        <f t="shared" si="16"/>
        <v>-2.76239986869599</v>
      </c>
      <c r="K27" s="30">
        <f t="shared" si="17"/>
        <v>1.15634423856721e-7</v>
      </c>
      <c r="L27" s="31">
        <f t="shared" si="18"/>
        <v>0.000483814994921768</v>
      </c>
    </row>
    <row r="28" spans="1:12">
      <c r="A28" s="29">
        <v>27</v>
      </c>
      <c r="B28" s="30">
        <f t="shared" si="10"/>
        <v>1.97293399385803</v>
      </c>
      <c r="C28" s="30">
        <f t="shared" si="11"/>
        <v>1.60996772446302</v>
      </c>
      <c r="D28" s="30">
        <f t="shared" si="12"/>
        <v>0.0120953748730441</v>
      </c>
      <c r="E28" s="30">
        <v>27</v>
      </c>
      <c r="F28" s="30">
        <f t="shared" si="13"/>
        <v>1.96083861898499</v>
      </c>
      <c r="G28" s="30">
        <f t="shared" si="14"/>
        <v>2.58395337837669e-6</v>
      </c>
      <c r="H28" s="30">
        <v>27</v>
      </c>
      <c r="I28" s="30">
        <f t="shared" si="15"/>
        <v>0.999232898896447</v>
      </c>
      <c r="J28" s="30">
        <f t="shared" si="16"/>
        <v>-2.76240027429789</v>
      </c>
      <c r="K28" s="30">
        <f t="shared" si="17"/>
        <v>9.53409784670466e-8</v>
      </c>
      <c r="L28" s="31">
        <f t="shared" si="18"/>
        <v>0.000447973318711179</v>
      </c>
    </row>
    <row r="29" spans="1:12">
      <c r="A29" s="29">
        <v>28</v>
      </c>
      <c r="B29" s="30">
        <f t="shared" si="10"/>
        <v>1.97248602053932</v>
      </c>
      <c r="C29" s="30">
        <f t="shared" si="11"/>
        <v>1.60996762912204</v>
      </c>
      <c r="D29" s="30">
        <f t="shared" si="12"/>
        <v>0.0116473062864904</v>
      </c>
      <c r="E29" s="30">
        <v>28</v>
      </c>
      <c r="F29" s="30">
        <f t="shared" si="13"/>
        <v>1.96083871425283</v>
      </c>
      <c r="G29" s="30">
        <f t="shared" si="14"/>
        <v>2.22544446959461e-6</v>
      </c>
      <c r="H29" s="30">
        <v>28</v>
      </c>
      <c r="I29" s="30">
        <f t="shared" si="15"/>
        <v>0.999232902630127</v>
      </c>
      <c r="J29" s="30">
        <f t="shared" si="16"/>
        <v>-2.76240060871779</v>
      </c>
      <c r="K29" s="30">
        <f t="shared" si="17"/>
        <v>7.92013102436127e-8</v>
      </c>
      <c r="L29" s="31">
        <f t="shared" si="18"/>
        <v>0.000415972398069115</v>
      </c>
    </row>
    <row r="30" spans="1:12">
      <c r="A30" s="29">
        <v>29</v>
      </c>
      <c r="B30" s="30">
        <f t="shared" si="10"/>
        <v>1.97207004814125</v>
      </c>
      <c r="C30" s="30">
        <f t="shared" si="11"/>
        <v>1.60996754992073</v>
      </c>
      <c r="D30" s="30">
        <f t="shared" si="12"/>
        <v>0.0112312547478663</v>
      </c>
      <c r="E30" s="30">
        <v>29</v>
      </c>
      <c r="F30" s="30">
        <f t="shared" si="13"/>
        <v>1.96083879339339</v>
      </c>
      <c r="G30" s="30">
        <f t="shared" si="14"/>
        <v>1.92762523143486e-6</v>
      </c>
      <c r="H30" s="30">
        <v>29</v>
      </c>
      <c r="I30" s="30">
        <f t="shared" si="15"/>
        <v>0.999232905731749</v>
      </c>
      <c r="J30" s="30">
        <f t="shared" si="16"/>
        <v>-2.7624008865257</v>
      </c>
      <c r="K30" s="30">
        <f t="shared" si="17"/>
        <v>6.62523857938349e-8</v>
      </c>
      <c r="L30" s="31">
        <f t="shared" si="18"/>
        <v>0.000387282363665599</v>
      </c>
    </row>
    <row r="31" spans="1:12">
      <c r="A31" s="29">
        <v>30</v>
      </c>
      <c r="B31" s="30">
        <f t="shared" si="10"/>
        <v>1.97168276577759</v>
      </c>
      <c r="C31" s="30">
        <f t="shared" si="11"/>
        <v>1.60996748366835</v>
      </c>
      <c r="D31" s="30">
        <f t="shared" si="12"/>
        <v>0.0108439061826364</v>
      </c>
      <c r="E31" s="30">
        <v>30</v>
      </c>
      <c r="F31" s="30">
        <f t="shared" si="13"/>
        <v>1.96083885959495</v>
      </c>
      <c r="G31" s="30">
        <f t="shared" si="14"/>
        <v>1.67849757826133e-6</v>
      </c>
      <c r="H31" s="30">
        <v>30</v>
      </c>
      <c r="I31" s="30">
        <f t="shared" si="15"/>
        <v>0.99923290832627</v>
      </c>
      <c r="J31" s="30">
        <f t="shared" si="16"/>
        <v>-2.76240111891362</v>
      </c>
      <c r="K31" s="30">
        <f t="shared" si="17"/>
        <v>5.57788466617963e-8</v>
      </c>
      <c r="L31" s="31">
        <f t="shared" si="18"/>
        <v>0.000361461681552575</v>
      </c>
    </row>
    <row r="32" spans="1:12">
      <c r="A32" s="29">
        <v>31</v>
      </c>
      <c r="B32" s="30">
        <f t="shared" si="10"/>
        <v>1.97132130409603</v>
      </c>
      <c r="C32" s="30">
        <f t="shared" si="11"/>
        <v>1.6099674278895</v>
      </c>
      <c r="D32" s="30">
        <f t="shared" si="12"/>
        <v>0.0104823887650247</v>
      </c>
      <c r="E32" s="30">
        <v>31</v>
      </c>
      <c r="F32" s="30">
        <f t="shared" si="13"/>
        <v>1.96083891533101</v>
      </c>
      <c r="G32" s="30">
        <f t="shared" si="14"/>
        <v>1.46875337447838e-6</v>
      </c>
      <c r="H32" s="30">
        <v>31</v>
      </c>
      <c r="I32" s="30">
        <f t="shared" si="15"/>
        <v>0.999232910510632</v>
      </c>
      <c r="J32" s="30">
        <f t="shared" si="16"/>
        <v>-2.7624013145643</v>
      </c>
      <c r="K32" s="30">
        <f t="shared" si="17"/>
        <v>4.72434436703572e-8</v>
      </c>
      <c r="L32" s="31">
        <f t="shared" si="18"/>
        <v>0.00033814005025229</v>
      </c>
    </row>
    <row r="33" spans="1:12">
      <c r="A33" s="29">
        <v>32</v>
      </c>
      <c r="B33" s="30">
        <f t="shared" si="10"/>
        <v>1.97098316404578</v>
      </c>
      <c r="C33" s="30">
        <f t="shared" si="11"/>
        <v>1.60996738064606</v>
      </c>
      <c r="D33" s="30">
        <f t="shared" si="12"/>
        <v>0.0101442015075688</v>
      </c>
      <c r="E33" s="30">
        <v>32</v>
      </c>
      <c r="F33" s="30">
        <f t="shared" si="13"/>
        <v>1.96083896253821</v>
      </c>
      <c r="G33" s="30">
        <f t="shared" si="14"/>
        <v>1.29110468494176e-6</v>
      </c>
      <c r="H33" s="30">
        <v>32</v>
      </c>
      <c r="I33" s="30">
        <f t="shared" si="15"/>
        <v>0.999232912360735</v>
      </c>
      <c r="J33" s="30">
        <f t="shared" si="16"/>
        <v>-2.76240148027602</v>
      </c>
      <c r="K33" s="30">
        <f t="shared" si="17"/>
        <v>4.02385548245942e-8</v>
      </c>
      <c r="L33" s="31">
        <f t="shared" si="18"/>
        <v>0.000317005040621264</v>
      </c>
    </row>
    <row r="34" spans="1:12">
      <c r="A34" s="29">
        <v>33</v>
      </c>
      <c r="B34" s="30">
        <f t="shared" si="10"/>
        <v>1.97066615900516</v>
      </c>
      <c r="C34" s="30">
        <f t="shared" si="11"/>
        <v>1.6099673404075</v>
      </c>
      <c r="D34" s="30">
        <f t="shared" si="12"/>
        <v>0.0098271562592589</v>
      </c>
      <c r="E34" s="30">
        <v>33</v>
      </c>
      <c r="F34" s="30">
        <f t="shared" si="13"/>
        <v>1.9608390027459</v>
      </c>
      <c r="G34" s="30">
        <f t="shared" si="14"/>
        <v>1.13979634841499e-6</v>
      </c>
      <c r="H34" s="30">
        <v>33</v>
      </c>
      <c r="I34" s="30">
        <f t="shared" si="15"/>
        <v>0.999232913936518</v>
      </c>
      <c r="J34" s="30">
        <f t="shared" si="16"/>
        <v>-2.76240162141726</v>
      </c>
      <c r="K34" s="30">
        <f t="shared" si="17"/>
        <v>3.44519580867829e-8</v>
      </c>
      <c r="L34" s="31">
        <f t="shared" si="18"/>
        <v>0.000297791570719043</v>
      </c>
    </row>
    <row r="35" spans="1:12">
      <c r="A35" s="29">
        <v>34</v>
      </c>
      <c r="B35" s="30">
        <f t="shared" si="10"/>
        <v>1.97036836743444</v>
      </c>
      <c r="C35" s="30">
        <f t="shared" si="11"/>
        <v>1.60996730595554</v>
      </c>
      <c r="D35" s="30">
        <f t="shared" si="12"/>
        <v>0.00952933026300951</v>
      </c>
      <c r="E35" s="30">
        <v>34</v>
      </c>
      <c r="F35" s="30">
        <f t="shared" si="13"/>
        <v>1.96083903717143</v>
      </c>
      <c r="G35" s="30">
        <f t="shared" si="14"/>
        <v>1.01024724674659e-6</v>
      </c>
      <c r="H35" s="30">
        <v>34</v>
      </c>
      <c r="I35" s="30">
        <f t="shared" si="15"/>
        <v>0.99923291528569</v>
      </c>
      <c r="J35" s="30">
        <f t="shared" si="16"/>
        <v>-2.76240174226133</v>
      </c>
      <c r="K35" s="30">
        <f t="shared" si="17"/>
        <v>2.96423746143445e-8</v>
      </c>
      <c r="L35" s="31">
        <f t="shared" si="18"/>
        <v>0.000280273548334503</v>
      </c>
    </row>
    <row r="36" spans="1:12">
      <c r="A36" s="29">
        <v>35</v>
      </c>
      <c r="B36" s="30">
        <f t="shared" si="10"/>
        <v>1.97008809388611</v>
      </c>
      <c r="C36" s="30">
        <f t="shared" si="11"/>
        <v>1.60996727631317</v>
      </c>
      <c r="D36" s="30">
        <f t="shared" si="12"/>
        <v>0.00924902709503872</v>
      </c>
      <c r="E36" s="30">
        <v>35</v>
      </c>
      <c r="F36" s="30">
        <f t="shared" si="13"/>
        <v>1.96083906679107</v>
      </c>
      <c r="G36" s="30">
        <f t="shared" si="14"/>
        <v>8.98783536040781e-7</v>
      </c>
      <c r="H36" s="30">
        <v>35</v>
      </c>
      <c r="I36" s="30">
        <f t="shared" si="15"/>
        <v>0.999232916446514</v>
      </c>
      <c r="J36" s="30">
        <f t="shared" si="16"/>
        <v>-2.76240184623523</v>
      </c>
      <c r="K36" s="30">
        <f t="shared" si="17"/>
        <v>2.56217962095361e-8</v>
      </c>
      <c r="L36" s="31">
        <f t="shared" si="18"/>
        <v>0.000264257185511331</v>
      </c>
    </row>
    <row r="37" spans="1:12">
      <c r="A37" s="29">
        <v>36</v>
      </c>
      <c r="B37" s="30">
        <f t="shared" si="10"/>
        <v>1.9698238367006</v>
      </c>
      <c r="C37" s="30">
        <f t="shared" si="11"/>
        <v>1.60996725069137</v>
      </c>
      <c r="D37" s="30">
        <f t="shared" si="12"/>
        <v>0.00898474430738494</v>
      </c>
      <c r="E37" s="30">
        <v>36</v>
      </c>
      <c r="F37" s="30">
        <f t="shared" si="13"/>
        <v>1.96083909239321</v>
      </c>
      <c r="G37" s="30">
        <f t="shared" si="14"/>
        <v>8.02438333113997e-7</v>
      </c>
      <c r="H37" s="30">
        <v>36</v>
      </c>
      <c r="I37" s="30">
        <f t="shared" si="15"/>
        <v>0.999232917449887</v>
      </c>
      <c r="J37" s="30">
        <f t="shared" si="16"/>
        <v>-2.76240193610648</v>
      </c>
      <c r="K37" s="30">
        <f t="shared" si="17"/>
        <v>2.22425803833345e-8</v>
      </c>
      <c r="L37" s="31">
        <f t="shared" si="18"/>
        <v>0.000249575613385179</v>
      </c>
    </row>
    <row r="38" spans="1:12">
      <c r="A38" s="29">
        <v>37</v>
      </c>
      <c r="B38" s="30">
        <f t="shared" si="10"/>
        <v>1.96957426108721</v>
      </c>
      <c r="C38" s="30">
        <f t="shared" si="11"/>
        <v>1.60996722844879</v>
      </c>
      <c r="D38" s="30">
        <f t="shared" si="12"/>
        <v>0.0087351464684815</v>
      </c>
      <c r="E38" s="30">
        <v>37</v>
      </c>
      <c r="F38" s="30">
        <f t="shared" si="13"/>
        <v>1.96083911461873</v>
      </c>
      <c r="G38" s="30">
        <f t="shared" si="14"/>
        <v>7.18799936905157e-7</v>
      </c>
      <c r="H38" s="30">
        <v>37</v>
      </c>
      <c r="I38" s="30">
        <f t="shared" si="15"/>
        <v>0.999232918320926</v>
      </c>
      <c r="J38" s="30">
        <f t="shared" si="16"/>
        <v>-2.76240201412476</v>
      </c>
      <c r="K38" s="30">
        <f t="shared" si="17"/>
        <v>1.93879338792489e-8</v>
      </c>
      <c r="L38" s="31">
        <f t="shared" si="18"/>
        <v>0.000236084516092426</v>
      </c>
    </row>
    <row r="39" spans="1:12">
      <c r="A39" s="29">
        <v>38</v>
      </c>
      <c r="B39" s="30">
        <f t="shared" si="10"/>
        <v>1.96933817657112</v>
      </c>
      <c r="C39" s="30">
        <f t="shared" si="11"/>
        <v>1.60996720906086</v>
      </c>
      <c r="D39" s="30">
        <f t="shared" si="12"/>
        <v>0.00849904257932721</v>
      </c>
      <c r="E39" s="30">
        <v>38</v>
      </c>
      <c r="F39" s="30">
        <f t="shared" si="13"/>
        <v>1.96083913399179</v>
      </c>
      <c r="G39" s="30">
        <f t="shared" si="14"/>
        <v>6.45895817275033e-7</v>
      </c>
      <c r="H39" s="30">
        <v>38</v>
      </c>
      <c r="I39" s="30">
        <f t="shared" si="15"/>
        <v>0.999232919080175</v>
      </c>
      <c r="J39" s="30">
        <f t="shared" si="16"/>
        <v>-2.76240208213004</v>
      </c>
      <c r="K39" s="30">
        <f t="shared" si="17"/>
        <v>1.69648291726151e-8</v>
      </c>
      <c r="L39" s="31">
        <f t="shared" si="18"/>
        <v>0.000223658569145038</v>
      </c>
    </row>
    <row r="40" spans="1:12">
      <c r="A40" s="29">
        <v>39</v>
      </c>
      <c r="B40" s="30">
        <f t="shared" si="10"/>
        <v>1.96911451800197</v>
      </c>
      <c r="C40" s="30">
        <f t="shared" si="11"/>
        <v>1.60996719209603</v>
      </c>
      <c r="D40" s="30">
        <f t="shared" si="12"/>
        <v>0.00827536705836618</v>
      </c>
      <c r="E40" s="30">
        <v>39</v>
      </c>
      <c r="F40" s="30">
        <f t="shared" si="13"/>
        <v>1.96083915094361</v>
      </c>
      <c r="G40" s="30">
        <f t="shared" si="14"/>
        <v>5.82103255819533e-7</v>
      </c>
      <c r="H40" s="30">
        <v>39</v>
      </c>
      <c r="I40" s="30">
        <f t="shared" si="15"/>
        <v>0.999232919744532</v>
      </c>
      <c r="J40" s="30">
        <f t="shared" si="16"/>
        <v>-2.76240214163601</v>
      </c>
      <c r="K40" s="30">
        <f t="shared" si="17"/>
        <v>1.48986866424417e-8</v>
      </c>
      <c r="L40" s="31">
        <f t="shared" si="18"/>
        <v>0.000212188517207898</v>
      </c>
    </row>
    <row r="41" spans="1:12">
      <c r="A41" s="29">
        <v>40</v>
      </c>
      <c r="B41" s="30">
        <f t="shared" si="10"/>
        <v>1.96890232948477</v>
      </c>
      <c r="C41" s="30">
        <f t="shared" si="11"/>
        <v>1.60996717719734</v>
      </c>
      <c r="D41" s="30">
        <f t="shared" si="12"/>
        <v>0.00806316365390014</v>
      </c>
      <c r="E41" s="30">
        <v>40</v>
      </c>
      <c r="F41" s="30">
        <f t="shared" si="13"/>
        <v>1.96083916583087</v>
      </c>
      <c r="G41" s="30">
        <f t="shared" si="14"/>
        <v>5.26079975582405e-7</v>
      </c>
      <c r="H41" s="30">
        <v>40</v>
      </c>
      <c r="I41" s="30">
        <f t="shared" si="15"/>
        <v>0.999232920327977</v>
      </c>
      <c r="J41" s="30">
        <f t="shared" si="16"/>
        <v>-2.76240219389476</v>
      </c>
      <c r="K41" s="30">
        <f t="shared" si="17"/>
        <v>1.31293489386533e-8</v>
      </c>
      <c r="L41" s="31">
        <f t="shared" si="18"/>
        <v>0.000201578763365561</v>
      </c>
    </row>
    <row r="42" spans="1:12">
      <c r="A42" s="29">
        <v>41</v>
      </c>
      <c r="B42" s="30">
        <f t="shared" si="10"/>
        <v>1.9687007507214</v>
      </c>
      <c r="C42" s="30">
        <f t="shared" si="11"/>
        <v>1.60996716406799</v>
      </c>
      <c r="D42" s="30">
        <f t="shared" si="12"/>
        <v>0.00786157177125668</v>
      </c>
      <c r="E42" s="30">
        <v>41</v>
      </c>
      <c r="F42" s="30">
        <f t="shared" si="13"/>
        <v>1.96083917895014</v>
      </c>
      <c r="G42" s="30">
        <f t="shared" si="14"/>
        <v>4.76709904440042e-7</v>
      </c>
      <c r="H42" s="30">
        <v>41</v>
      </c>
      <c r="I42" s="30">
        <f t="shared" si="15"/>
        <v>0.999232920842133</v>
      </c>
      <c r="J42" s="30">
        <f t="shared" si="16"/>
        <v>-2.76240223994736</v>
      </c>
      <c r="K42" s="30">
        <f t="shared" si="17"/>
        <v>1.16080099265758e-8</v>
      </c>
      <c r="L42" s="31">
        <f t="shared" si="18"/>
        <v>0.000191745370052464</v>
      </c>
    </row>
    <row r="43" spans="1:12">
      <c r="A43" s="29">
        <v>42</v>
      </c>
      <c r="B43" s="30">
        <f t="shared" si="10"/>
        <v>1.96850900535135</v>
      </c>
      <c r="C43" s="30">
        <f t="shared" si="11"/>
        <v>1.60996715245998</v>
      </c>
      <c r="D43" s="30">
        <f t="shared" si="12"/>
        <v>0.00766981480209905</v>
      </c>
      <c r="E43" s="30">
        <v>42</v>
      </c>
      <c r="F43" s="30">
        <f t="shared" si="13"/>
        <v>1.96083919054925</v>
      </c>
      <c r="G43" s="30">
        <f t="shared" si="14"/>
        <v>4.3306049946068e-7</v>
      </c>
      <c r="H43" s="30">
        <v>42</v>
      </c>
      <c r="I43" s="30">
        <f t="shared" si="15"/>
        <v>0.999232921296712</v>
      </c>
      <c r="J43" s="30">
        <f t="shared" si="16"/>
        <v>-2.7624022806637</v>
      </c>
      <c r="K43" s="30">
        <f t="shared" si="17"/>
        <v>1.02948550232114e-8</v>
      </c>
      <c r="L43" s="31">
        <f t="shared" si="18"/>
        <v>0.000182614393217643</v>
      </c>
    </row>
    <row r="44" spans="1:12">
      <c r="A44" s="29">
        <v>43</v>
      </c>
      <c r="B44" s="30">
        <f t="shared" si="10"/>
        <v>1.96832639095813</v>
      </c>
      <c r="C44" s="30">
        <f t="shared" si="11"/>
        <v>1.60996714216513</v>
      </c>
      <c r="D44" s="30">
        <f t="shared" si="12"/>
        <v>0.00748719012192334</v>
      </c>
      <c r="E44" s="30">
        <v>43</v>
      </c>
      <c r="F44" s="30">
        <f t="shared" si="13"/>
        <v>1.96083920083621</v>
      </c>
      <c r="G44" s="30">
        <f t="shared" si="14"/>
        <v>3.94348927734711e-7</v>
      </c>
      <c r="H44" s="30">
        <v>43</v>
      </c>
      <c r="I44" s="30">
        <f t="shared" si="15"/>
        <v>0.999232921699867</v>
      </c>
      <c r="J44" s="30">
        <f t="shared" si="16"/>
        <v>-2.762402316774</v>
      </c>
      <c r="K44" s="30">
        <f t="shared" si="17"/>
        <v>9.1572348997715e-9</v>
      </c>
      <c r="L44" s="31">
        <f t="shared" si="18"/>
        <v>0.00017412048771425</v>
      </c>
    </row>
    <row r="45" spans="1:12">
      <c r="A45" s="29">
        <v>44</v>
      </c>
      <c r="B45" s="30">
        <f t="shared" si="10"/>
        <v>1.96815227047042</v>
      </c>
      <c r="C45" s="30">
        <f t="shared" si="11"/>
        <v>1.60996713300789</v>
      </c>
      <c r="D45" s="30">
        <f t="shared" si="12"/>
        <v>0.0073130604839986</v>
      </c>
      <c r="E45" s="30">
        <v>44</v>
      </c>
      <c r="F45" s="30">
        <f t="shared" si="13"/>
        <v>1.96083920998642</v>
      </c>
      <c r="G45" s="30">
        <f t="shared" si="14"/>
        <v>3.59915130143662e-7</v>
      </c>
      <c r="H45" s="30">
        <v>44</v>
      </c>
      <c r="I45" s="30">
        <f t="shared" si="15"/>
        <v>0.999232922058472</v>
      </c>
      <c r="J45" s="30">
        <f t="shared" si="16"/>
        <v>-2.76240234889397</v>
      </c>
      <c r="K45" s="30">
        <f t="shared" si="17"/>
        <v>8.16824331618043e-9</v>
      </c>
      <c r="L45" s="31">
        <f t="shared" si="18"/>
        <v>0.000166205734591386</v>
      </c>
    </row>
    <row r="46" spans="1:12">
      <c r="A46" s="29">
        <v>45</v>
      </c>
      <c r="B46" s="30">
        <f t="shared" si="10"/>
        <v>1.96798606473582</v>
      </c>
      <c r="C46" s="30">
        <f t="shared" si="11"/>
        <v>1.60996712483965</v>
      </c>
      <c r="D46" s="30">
        <f t="shared" si="12"/>
        <v>0.00714684658742915</v>
      </c>
      <c r="E46" s="30">
        <v>45</v>
      </c>
      <c r="F46" s="30">
        <f t="shared" si="13"/>
        <v>1.9608392181484</v>
      </c>
      <c r="G46" s="30">
        <f t="shared" si="14"/>
        <v>3.29200219084669e-7</v>
      </c>
      <c r="H46" s="30">
        <v>45</v>
      </c>
      <c r="I46" s="30">
        <f t="shared" si="15"/>
        <v>0.999232922378347</v>
      </c>
      <c r="J46" s="30">
        <f t="shared" si="16"/>
        <v>-2.76240237754496</v>
      </c>
      <c r="K46" s="30">
        <f t="shared" si="17"/>
        <v>7.30560213654417e-9</v>
      </c>
      <c r="L46" s="31">
        <f t="shared" si="18"/>
        <v>0.000158818650831799</v>
      </c>
    </row>
    <row r="47" spans="1:12">
      <c r="A47" s="29">
        <v>46</v>
      </c>
      <c r="B47" s="30">
        <f t="shared" si="10"/>
        <v>1.96782724608499</v>
      </c>
      <c r="C47" s="30">
        <f t="shared" si="11"/>
        <v>1.60996711753405</v>
      </c>
      <c r="D47" s="30">
        <f t="shared" si="12"/>
        <v>0.00698802063659931</v>
      </c>
      <c r="E47" s="30">
        <v>46</v>
      </c>
      <c r="F47" s="30">
        <f t="shared" si="13"/>
        <v>1.96083922544839</v>
      </c>
      <c r="G47" s="30">
        <f t="shared" si="14"/>
        <v>3.01729085272484e-7</v>
      </c>
      <c r="H47" s="30">
        <v>46</v>
      </c>
      <c r="I47" s="30">
        <f t="shared" si="15"/>
        <v>0.99923292266444</v>
      </c>
      <c r="J47" s="30">
        <f t="shared" si="16"/>
        <v>-2.76240240317013</v>
      </c>
      <c r="K47" s="30">
        <f t="shared" si="17"/>
        <v>6.55078256426698e-9</v>
      </c>
      <c r="L47" s="31">
        <f t="shared" si="18"/>
        <v>0.000151913349800907</v>
      </c>
    </row>
    <row r="48" spans="1:12">
      <c r="A48" s="29">
        <v>47</v>
      </c>
      <c r="B48" s="30">
        <f t="shared" si="10"/>
        <v>1.96767533273519</v>
      </c>
      <c r="C48" s="30">
        <f t="shared" si="11"/>
        <v>1.60996711098326</v>
      </c>
      <c r="D48" s="30">
        <f t="shared" si="12"/>
        <v>0.00683610074104068</v>
      </c>
      <c r="E48" s="30">
        <v>47</v>
      </c>
      <c r="F48" s="30">
        <f t="shared" si="13"/>
        <v>1.96083923199415</v>
      </c>
      <c r="G48" s="30">
        <f t="shared" si="14"/>
        <v>2.77096285916656e-7</v>
      </c>
      <c r="H48" s="30">
        <v>47</v>
      </c>
      <c r="I48" s="30">
        <f t="shared" si="15"/>
        <v>0.999232922920973</v>
      </c>
      <c r="J48" s="30">
        <f t="shared" si="16"/>
        <v>-2.76240242614769</v>
      </c>
      <c r="K48" s="30">
        <f t="shared" si="17"/>
        <v>5.88830784942247e-9</v>
      </c>
      <c r="L48" s="31">
        <f t="shared" si="18"/>
        <v>0.000145448826749992</v>
      </c>
    </row>
    <row r="49" spans="1:12">
      <c r="A49" s="29">
        <v>48</v>
      </c>
      <c r="B49" s="30">
        <f t="shared" si="10"/>
        <v>1.96752988390844</v>
      </c>
      <c r="C49" s="30">
        <f t="shared" si="11"/>
        <v>1.60996710509496</v>
      </c>
      <c r="D49" s="30">
        <f t="shared" si="12"/>
        <v>0.00669064603049963</v>
      </c>
      <c r="E49" s="30">
        <v>48</v>
      </c>
      <c r="F49" s="30">
        <f t="shared" si="13"/>
        <v>1.96083923787794</v>
      </c>
      <c r="G49" s="30">
        <f t="shared" si="14"/>
        <v>2.54954578782218e-7</v>
      </c>
      <c r="H49" s="30">
        <v>48</v>
      </c>
      <c r="I49" s="30">
        <f t="shared" si="15"/>
        <v>0.999232923151564</v>
      </c>
      <c r="J49" s="30">
        <f t="shared" si="16"/>
        <v>-2.76240244680156</v>
      </c>
      <c r="K49" s="30">
        <f t="shared" si="17"/>
        <v>5.30519788693764e-9</v>
      </c>
      <c r="L49" s="31">
        <f t="shared" si="18"/>
        <v>0.000139388348528567</v>
      </c>
    </row>
    <row r="50" spans="1:12">
      <c r="A50" s="29">
        <v>49</v>
      </c>
      <c r="B50" s="30">
        <f t="shared" si="10"/>
        <v>1.96739049555991</v>
      </c>
      <c r="C50" s="30">
        <f t="shared" si="11"/>
        <v>1.60996709978976</v>
      </c>
      <c r="D50" s="30">
        <f t="shared" si="12"/>
        <v>0.00655125238084286</v>
      </c>
      <c r="E50" s="30">
        <v>49</v>
      </c>
      <c r="F50" s="30">
        <f t="shared" si="13"/>
        <v>1.96083924317907</v>
      </c>
      <c r="G50" s="30">
        <f t="shared" si="14"/>
        <v>2.3500553147926e-7</v>
      </c>
      <c r="H50" s="30">
        <v>49</v>
      </c>
      <c r="I50" s="30">
        <f t="shared" si="15"/>
        <v>0.99923292335932</v>
      </c>
      <c r="J50" s="30">
        <f t="shared" si="16"/>
        <v>-2.7624024654101</v>
      </c>
      <c r="K50" s="30">
        <f t="shared" si="17"/>
        <v>4.79052388109183e-9</v>
      </c>
      <c r="L50" s="31">
        <f t="shared" si="18"/>
        <v>0.000133698930489667</v>
      </c>
    </row>
    <row r="51" spans="1:12">
      <c r="A51" s="29">
        <v>50</v>
      </c>
      <c r="B51" s="30">
        <f t="shared" si="10"/>
        <v>1.96725679662942</v>
      </c>
      <c r="C51" s="30">
        <f t="shared" si="11"/>
        <v>1.60996709499924</v>
      </c>
      <c r="D51" s="30">
        <f t="shared" si="12"/>
        <v>0.00641754866350386</v>
      </c>
      <c r="E51" s="30">
        <v>50</v>
      </c>
      <c r="F51" s="30">
        <f t="shared" si="13"/>
        <v>1.96083924796592</v>
      </c>
      <c r="G51" s="30">
        <f t="shared" si="14"/>
        <v>2.16991803636546e-7</v>
      </c>
      <c r="H51" s="30">
        <v>50</v>
      </c>
      <c r="I51" s="30">
        <f t="shared" si="15"/>
        <v>0.99923292354692</v>
      </c>
      <c r="J51" s="30">
        <f t="shared" si="16"/>
        <v>-2.76240248221337</v>
      </c>
      <c r="K51" s="30">
        <f t="shared" si="17"/>
        <v>4.33504968626823e-9</v>
      </c>
      <c r="L51" s="31">
        <f t="shared" si="18"/>
        <v>0.00012835088663559</v>
      </c>
    </row>
    <row r="52" spans="1:12">
      <c r="A52" s="29">
        <v>51</v>
      </c>
      <c r="B52" s="30">
        <f t="shared" si="10"/>
        <v>1.96712844574279</v>
      </c>
      <c r="C52" s="30">
        <f t="shared" si="11"/>
        <v>1.60996709066419</v>
      </c>
      <c r="D52" s="30">
        <f t="shared" si="12"/>
        <v>0.00628919344514367</v>
      </c>
      <c r="E52" s="30">
        <v>51</v>
      </c>
      <c r="F52" s="30">
        <f t="shared" si="13"/>
        <v>1.96083925229764</v>
      </c>
      <c r="G52" s="30">
        <f t="shared" si="14"/>
        <v>2.00690787099944e-7</v>
      </c>
      <c r="H52" s="30">
        <v>51</v>
      </c>
      <c r="I52" s="30">
        <f t="shared" si="15"/>
        <v>0.999232923716684</v>
      </c>
      <c r="J52" s="30">
        <f t="shared" si="16"/>
        <v>-2.76240249741901</v>
      </c>
      <c r="K52" s="30">
        <f t="shared" si="17"/>
        <v>3.93094180246294e-9</v>
      </c>
      <c r="L52" s="31">
        <f t="shared" si="18"/>
        <v>0.000123317441514063</v>
      </c>
    </row>
    <row r="53" spans="1:12">
      <c r="A53" s="29">
        <v>52</v>
      </c>
      <c r="B53" s="30">
        <f t="shared" si="10"/>
        <v>1.96700512830127</v>
      </c>
      <c r="C53" s="30">
        <f t="shared" si="11"/>
        <v>1.60996708673324</v>
      </c>
      <c r="D53" s="30">
        <f t="shared" si="12"/>
        <v>0.0061658720757034</v>
      </c>
      <c r="E53" s="30">
        <v>52</v>
      </c>
      <c r="F53" s="30">
        <f t="shared" si="13"/>
        <v>1.96083925622557</v>
      </c>
      <c r="G53" s="30">
        <f t="shared" si="14"/>
        <v>1.85909332373058e-7</v>
      </c>
      <c r="H53" s="30">
        <v>52</v>
      </c>
      <c r="I53" s="30">
        <f t="shared" si="15"/>
        <v>0.999232923870623</v>
      </c>
      <c r="J53" s="30">
        <f t="shared" si="16"/>
        <v>-2.7624025112072</v>
      </c>
      <c r="K53" s="30">
        <f t="shared" si="17"/>
        <v>3.57153359393993e-9</v>
      </c>
      <c r="L53" s="31">
        <f t="shared" si="18"/>
        <v>0.000118574394363643</v>
      </c>
    </row>
    <row r="54" spans="1:12">
      <c r="A54" s="29">
        <v>53</v>
      </c>
      <c r="B54" s="30">
        <f t="shared" si="10"/>
        <v>1.96688655390691</v>
      </c>
      <c r="C54" s="30">
        <f t="shared" si="11"/>
        <v>1.60996708316171</v>
      </c>
      <c r="D54" s="30">
        <f t="shared" si="12"/>
        <v>0.00604729411254556</v>
      </c>
      <c r="E54" s="30">
        <v>53</v>
      </c>
      <c r="F54" s="30">
        <f t="shared" si="13"/>
        <v>1.96083925979436</v>
      </c>
      <c r="G54" s="30">
        <f t="shared" si="14"/>
        <v>1.72479352134047e-7</v>
      </c>
      <c r="H54" s="30">
        <v>53</v>
      </c>
      <c r="I54" s="30">
        <f t="shared" si="15"/>
        <v>0.999232924010486</v>
      </c>
      <c r="J54" s="30">
        <f t="shared" si="16"/>
        <v>-2.76240252373473</v>
      </c>
      <c r="K54" s="30">
        <f t="shared" si="17"/>
        <v>3.25113265045463e-9</v>
      </c>
      <c r="L54" s="31">
        <f t="shared" si="18"/>
        <v>0.000114099827620883</v>
      </c>
    </row>
    <row r="55" spans="1:12">
      <c r="A55" s="29">
        <v>54</v>
      </c>
      <c r="B55" s="30">
        <f t="shared" si="10"/>
        <v>1.96677245407929</v>
      </c>
      <c r="C55" s="30">
        <f t="shared" si="11"/>
        <v>1.60996707991058</v>
      </c>
      <c r="D55" s="30">
        <f t="shared" si="12"/>
        <v>0.00593319103628609</v>
      </c>
      <c r="E55" s="30">
        <v>54</v>
      </c>
      <c r="F55" s="30">
        <f t="shared" si="13"/>
        <v>1.960839263043</v>
      </c>
      <c r="G55" s="30">
        <f t="shared" si="14"/>
        <v>1.60254171710505e-7</v>
      </c>
      <c r="H55" s="30">
        <v>54</v>
      </c>
      <c r="I55" s="30">
        <f t="shared" si="15"/>
        <v>0.999232924137803</v>
      </c>
      <c r="J55" s="30">
        <f t="shared" si="16"/>
        <v>-2.76240253513842</v>
      </c>
      <c r="K55" s="30">
        <f t="shared" si="17"/>
        <v>2.96486330895389e-9</v>
      </c>
      <c r="L55" s="31">
        <f t="shared" si="18"/>
        <v>0.000109873853216612</v>
      </c>
    </row>
    <row r="56" spans="1:12">
      <c r="A56" s="29">
        <v>55</v>
      </c>
      <c r="B56" s="30">
        <f t="shared" si="10"/>
        <v>1.96666258022607</v>
      </c>
      <c r="C56" s="30">
        <f t="shared" si="11"/>
        <v>1.60996707694571</v>
      </c>
      <c r="D56" s="30">
        <f t="shared" si="12"/>
        <v>0.00582331422048066</v>
      </c>
      <c r="E56" s="30">
        <v>55</v>
      </c>
      <c r="F56" s="30">
        <f t="shared" si="13"/>
        <v>1.96083926600559</v>
      </c>
      <c r="G56" s="30">
        <f t="shared" si="14"/>
        <v>1.49105445768072e-7</v>
      </c>
      <c r="H56" s="30">
        <v>55</v>
      </c>
      <c r="I56" s="30">
        <f t="shared" si="15"/>
        <v>0.99923292425391</v>
      </c>
      <c r="J56" s="30">
        <f t="shared" si="16"/>
        <v>-2.76240254553799</v>
      </c>
      <c r="K56" s="30">
        <f t="shared" si="17"/>
        <v>2.70853659113491e-9</v>
      </c>
      <c r="L56" s="31">
        <f t="shared" si="18"/>
        <v>0.000105878391164031</v>
      </c>
    </row>
    <row r="57" spans="1:12">
      <c r="A57" s="29">
        <v>56</v>
      </c>
      <c r="B57" s="30">
        <f t="shared" si="10"/>
        <v>1.96655670183491</v>
      </c>
      <c r="C57" s="30">
        <f t="shared" si="11"/>
        <v>1.60996707423718</v>
      </c>
      <c r="D57" s="30">
        <f t="shared" si="12"/>
        <v>0.00571743312285777</v>
      </c>
      <c r="E57" s="30">
        <v>56</v>
      </c>
      <c r="F57" s="30">
        <f t="shared" si="13"/>
        <v>1.96083926871205</v>
      </c>
      <c r="G57" s="30">
        <f t="shared" si="14"/>
        <v>1.38920580816659e-7</v>
      </c>
      <c r="H57" s="30">
        <v>56</v>
      </c>
      <c r="I57" s="30">
        <f t="shared" si="15"/>
        <v>0.999232924359978</v>
      </c>
      <c r="J57" s="30">
        <f t="shared" si="16"/>
        <v>-2.76240255503847</v>
      </c>
      <c r="K57" s="30">
        <f t="shared" si="17"/>
        <v>2.47854306250221e-9</v>
      </c>
      <c r="L57" s="31">
        <f t="shared" si="18"/>
        <v>0.000102096975825285</v>
      </c>
    </row>
    <row r="58" spans="1:12">
      <c r="A58" s="29">
        <v>57</v>
      </c>
      <c r="B58" s="30">
        <f t="shared" si="10"/>
        <v>1.96645460485908</v>
      </c>
      <c r="C58" s="30">
        <f t="shared" si="11"/>
        <v>1.60996707175863</v>
      </c>
      <c r="D58" s="30">
        <f t="shared" si="12"/>
        <v>0.00561533367039058</v>
      </c>
      <c r="E58" s="30">
        <v>57</v>
      </c>
      <c r="F58" s="30">
        <f t="shared" si="13"/>
        <v>1.96083927118869</v>
      </c>
      <c r="G58" s="30">
        <f t="shared" si="14"/>
        <v>1.29600555620613e-7</v>
      </c>
      <c r="H58" s="30">
        <v>57</v>
      </c>
      <c r="I58" s="30">
        <f t="shared" si="15"/>
        <v>0.999232924457039</v>
      </c>
      <c r="J58" s="30">
        <f t="shared" si="16"/>
        <v>-2.76240256373222</v>
      </c>
      <c r="K58" s="30">
        <f t="shared" si="17"/>
        <v>2.27176391434798e-9</v>
      </c>
      <c r="L58" s="31">
        <f t="shared" si="18"/>
        <v>9.85145859713908e-5</v>
      </c>
    </row>
    <row r="59" spans="1:12">
      <c r="A59" s="29">
        <v>58</v>
      </c>
      <c r="B59" s="30">
        <f t="shared" ref="B59:B80" si="19">B58-L58</f>
        <v>1.96635609027311</v>
      </c>
      <c r="C59" s="30">
        <f t="shared" ref="C59:C80" si="20">C58-K58</f>
        <v>1.60996706948687</v>
      </c>
      <c r="D59" s="30">
        <f t="shared" ref="D59:D80" si="21">B59-COS(C59)-2</f>
        <v>0.00551681681439797</v>
      </c>
      <c r="E59" s="30">
        <v>58</v>
      </c>
      <c r="F59" s="30">
        <f t="shared" si="13"/>
        <v>1.96083927345871</v>
      </c>
      <c r="G59" s="30">
        <f t="shared" ref="G59:G80" si="22">C59-SIN(3*F59)-2</f>
        <v>1.21058078228486e-7</v>
      </c>
      <c r="H59" s="30">
        <v>58</v>
      </c>
      <c r="I59" s="30">
        <f t="shared" ref="I59:I80" si="23">SIN(C59)</f>
        <v>0.999232924546003</v>
      </c>
      <c r="J59" s="30">
        <f t="shared" ref="J59:J80" si="24">-3*COS(3*F59)</f>
        <v>-2.76240257170067</v>
      </c>
      <c r="K59" s="30">
        <f t="shared" ref="K59:K80" si="25">G59*E59/(E59*H59-I59*J59)</f>
        <v>2.08549701962844e-9</v>
      </c>
      <c r="L59" s="31">
        <f t="shared" ref="L59:L80" si="26">(D59-K59*I59)/E59</f>
        <v>9.51174953534601e-5</v>
      </c>
    </row>
    <row r="60" spans="1:12">
      <c r="A60" s="29">
        <v>59</v>
      </c>
      <c r="B60" s="30">
        <f t="shared" si="19"/>
        <v>1.96626097277776</v>
      </c>
      <c r="C60" s="30">
        <f t="shared" si="20"/>
        <v>1.60996706740137</v>
      </c>
      <c r="D60" s="30">
        <f t="shared" si="21"/>
        <v>0.00542169723514707</v>
      </c>
      <c r="E60" s="30">
        <v>59</v>
      </c>
      <c r="F60" s="30">
        <f t="shared" si="13"/>
        <v>1.96083927554261</v>
      </c>
      <c r="G60" s="30">
        <f t="shared" si="22"/>
        <v>1.13216017449957e-7</v>
      </c>
      <c r="H60" s="30">
        <v>59</v>
      </c>
      <c r="I60" s="30">
        <f t="shared" si="23"/>
        <v>0.999232924627673</v>
      </c>
      <c r="J60" s="30">
        <f t="shared" si="24"/>
        <v>-2.76240257901577</v>
      </c>
      <c r="K60" s="30">
        <f t="shared" si="25"/>
        <v>1.91739513794258e-9</v>
      </c>
      <c r="L60" s="31">
        <f t="shared" si="26"/>
        <v>9.18931410037749e-5</v>
      </c>
    </row>
    <row r="61" spans="1:12">
      <c r="A61" s="29">
        <v>60</v>
      </c>
      <c r="B61" s="30">
        <f t="shared" si="19"/>
        <v>1.96616907963675</v>
      </c>
      <c r="C61" s="30">
        <f t="shared" si="20"/>
        <v>1.60996706548398</v>
      </c>
      <c r="D61" s="30">
        <f t="shared" si="21"/>
        <v>0.0053298021782191</v>
      </c>
      <c r="E61" s="30">
        <v>60</v>
      </c>
      <c r="F61" s="30">
        <f t="shared" si="13"/>
        <v>1.96083927745854</v>
      </c>
      <c r="G61" s="30">
        <f t="shared" si="22"/>
        <v>1.06006068811837e-7</v>
      </c>
      <c r="H61" s="30">
        <v>60</v>
      </c>
      <c r="I61" s="30">
        <f t="shared" si="23"/>
        <v>0.999232924702759</v>
      </c>
      <c r="J61" s="30">
        <f t="shared" si="24"/>
        <v>-2.76240258574123</v>
      </c>
      <c r="K61" s="30">
        <f t="shared" si="25"/>
        <v>1.76541419023536e-9</v>
      </c>
      <c r="L61" s="31">
        <f t="shared" si="26"/>
        <v>8.88300069026519e-5</v>
      </c>
    </row>
    <row r="62" spans="1:12">
      <c r="A62" s="29">
        <v>61</v>
      </c>
      <c r="B62" s="30">
        <f t="shared" si="19"/>
        <v>1.96608024962985</v>
      </c>
      <c r="C62" s="30">
        <f t="shared" si="20"/>
        <v>1.60996706371856</v>
      </c>
      <c r="D62" s="30">
        <f t="shared" si="21"/>
        <v>0.00524097040725602</v>
      </c>
      <c r="E62" s="30">
        <v>61</v>
      </c>
      <c r="F62" s="30">
        <f t="shared" si="13"/>
        <v>1.9608392792226</v>
      </c>
      <c r="G62" s="30">
        <f t="shared" si="22"/>
        <v>9.93676096960883e-8</v>
      </c>
      <c r="H62" s="30">
        <v>61</v>
      </c>
      <c r="I62" s="30">
        <f t="shared" si="23"/>
        <v>0.999232924771894</v>
      </c>
      <c r="J62" s="30">
        <f t="shared" si="24"/>
        <v>-2.76240259193361</v>
      </c>
      <c r="K62" s="30">
        <f t="shared" si="25"/>
        <v>1.62776970851805e-9</v>
      </c>
      <c r="L62" s="31">
        <f t="shared" si="26"/>
        <v>8.59175209956546e-5</v>
      </c>
    </row>
    <row r="63" spans="1:12">
      <c r="A63" s="29">
        <v>62</v>
      </c>
      <c r="B63" s="30">
        <f t="shared" si="19"/>
        <v>1.96599433210886</v>
      </c>
      <c r="C63" s="30">
        <f t="shared" si="20"/>
        <v>1.60996706209079</v>
      </c>
      <c r="D63" s="30">
        <f t="shared" si="21"/>
        <v>0.00515505125973936</v>
      </c>
      <c r="E63" s="30">
        <v>62</v>
      </c>
      <c r="F63" s="30">
        <f t="shared" si="13"/>
        <v>1.96083928084912</v>
      </c>
      <c r="G63" s="30">
        <f t="shared" si="22"/>
        <v>9.32467338898846e-8</v>
      </c>
      <c r="H63" s="30">
        <v>62</v>
      </c>
      <c r="I63" s="30">
        <f t="shared" si="23"/>
        <v>0.999232924835639</v>
      </c>
      <c r="J63" s="30">
        <f t="shared" si="24"/>
        <v>-2.76240259764318</v>
      </c>
      <c r="K63" s="30">
        <f t="shared" si="25"/>
        <v>1.50290038237618e-9</v>
      </c>
      <c r="L63" s="31">
        <f t="shared" si="26"/>
        <v>8.31459638385777e-5</v>
      </c>
    </row>
    <row r="64" spans="1:12">
      <c r="A64" s="29">
        <v>63</v>
      </c>
      <c r="B64" s="30">
        <f t="shared" si="19"/>
        <v>1.96591118614502</v>
      </c>
      <c r="C64" s="30">
        <f t="shared" si="20"/>
        <v>1.60996706058789</v>
      </c>
      <c r="D64" s="30">
        <f t="shared" si="21"/>
        <v>0.00507190379415334</v>
      </c>
      <c r="E64" s="30">
        <v>63</v>
      </c>
      <c r="F64" s="30">
        <f t="shared" si="13"/>
        <v>1.96083928235086</v>
      </c>
      <c r="G64" s="30">
        <f t="shared" si="22"/>
        <v>8.75954029311288e-8</v>
      </c>
      <c r="H64" s="30">
        <v>63</v>
      </c>
      <c r="I64" s="30">
        <f t="shared" si="23"/>
        <v>0.999232924894494</v>
      </c>
      <c r="J64" s="30">
        <f t="shared" si="24"/>
        <v>-2.76240260291476</v>
      </c>
      <c r="K64" s="30">
        <f t="shared" si="25"/>
        <v>1.3894369223144e-9</v>
      </c>
      <c r="L64" s="31">
        <f t="shared" si="26"/>
        <v>8.05063873933686e-5</v>
      </c>
    </row>
    <row r="65" spans="1:12">
      <c r="A65" s="29">
        <v>64</v>
      </c>
      <c r="B65" s="30">
        <f t="shared" si="19"/>
        <v>1.96583067975762</v>
      </c>
      <c r="C65" s="30">
        <f t="shared" si="20"/>
        <v>1.60996705919846</v>
      </c>
      <c r="D65" s="30">
        <f t="shared" si="21"/>
        <v>0.00499139601838827</v>
      </c>
      <c r="E65" s="30">
        <v>64</v>
      </c>
      <c r="F65" s="30">
        <f t="shared" si="13"/>
        <v>1.96083928373924</v>
      </c>
      <c r="G65" s="30">
        <f t="shared" si="22"/>
        <v>8.23707244634875e-8</v>
      </c>
      <c r="H65" s="30">
        <v>64</v>
      </c>
      <c r="I65" s="30">
        <f t="shared" si="23"/>
        <v>0.999232924948905</v>
      </c>
      <c r="J65" s="30">
        <f t="shared" si="24"/>
        <v>-2.76240260778836</v>
      </c>
      <c r="K65" s="30">
        <f t="shared" si="25"/>
        <v>1.28617581923686e-9</v>
      </c>
      <c r="L65" s="31">
        <f t="shared" si="26"/>
        <v>7.79905427062351e-5</v>
      </c>
    </row>
    <row r="66" spans="1:12">
      <c r="A66" s="29">
        <v>65</v>
      </c>
      <c r="B66" s="30">
        <f t="shared" si="19"/>
        <v>1.96575268921492</v>
      </c>
      <c r="C66" s="30">
        <f t="shared" si="20"/>
        <v>1.60996705791228</v>
      </c>
      <c r="D66" s="30">
        <f t="shared" si="21"/>
        <v>0.00491340419049324</v>
      </c>
      <c r="E66" s="30">
        <v>65</v>
      </c>
      <c r="F66" s="30">
        <f t="shared" si="13"/>
        <v>1.96083928502442</v>
      </c>
      <c r="G66" s="30">
        <f t="shared" si="22"/>
        <v>7.75343393932815e-8</v>
      </c>
      <c r="H66" s="30">
        <v>65</v>
      </c>
      <c r="I66" s="30">
        <f t="shared" si="23"/>
        <v>0.999232924999273</v>
      </c>
      <c r="J66" s="30">
        <f t="shared" si="24"/>
        <v>-2.76240261229975</v>
      </c>
      <c r="K66" s="30">
        <f t="shared" si="25"/>
        <v>1.19205719398581e-9</v>
      </c>
      <c r="L66" s="31">
        <f t="shared" si="26"/>
        <v>7.55908153746222e-5</v>
      </c>
    </row>
    <row r="67" spans="1:12">
      <c r="A67" s="29">
        <v>66</v>
      </c>
      <c r="B67" s="30">
        <f t="shared" si="19"/>
        <v>1.96567709839954</v>
      </c>
      <c r="C67" s="30">
        <f t="shared" si="20"/>
        <v>1.60996705672022</v>
      </c>
      <c r="D67" s="30">
        <f t="shared" si="21"/>
        <v>0.00483781218397583</v>
      </c>
      <c r="E67" s="30">
        <v>66</v>
      </c>
      <c r="F67" s="30">
        <f t="shared" si="13"/>
        <v>1.96083928621557</v>
      </c>
      <c r="G67" s="30">
        <f t="shared" si="22"/>
        <v>7.30518667779734e-8</v>
      </c>
      <c r="H67" s="30">
        <v>66</v>
      </c>
      <c r="I67" s="30">
        <f t="shared" si="23"/>
        <v>0.999232925045954</v>
      </c>
      <c r="J67" s="30">
        <f t="shared" si="24"/>
        <v>-2.76240261648102</v>
      </c>
      <c r="K67" s="30">
        <f t="shared" si="25"/>
        <v>1.1061455307454e-9</v>
      </c>
      <c r="L67" s="31">
        <f t="shared" si="26"/>
        <v>7.33001678587697e-5</v>
      </c>
    </row>
    <row r="68" spans="1:12">
      <c r="A68" s="29">
        <v>67</v>
      </c>
      <c r="B68" s="30">
        <f t="shared" si="19"/>
        <v>1.96560379823168</v>
      </c>
      <c r="C68" s="30">
        <f t="shared" si="20"/>
        <v>1.60996705561408</v>
      </c>
      <c r="D68" s="30">
        <f t="shared" si="21"/>
        <v>0.00476451091081964</v>
      </c>
      <c r="E68" s="30">
        <v>67</v>
      </c>
      <c r="F68" s="30">
        <f t="shared" si="13"/>
        <v>1.96083928732086</v>
      </c>
      <c r="G68" s="30">
        <f t="shared" si="22"/>
        <v>6.88924446379247e-8</v>
      </c>
      <c r="H68" s="30">
        <v>67</v>
      </c>
      <c r="I68" s="30">
        <f t="shared" si="23"/>
        <v>0.999232925089272</v>
      </c>
      <c r="J68" s="30">
        <f t="shared" si="24"/>
        <v>-2.76240262036094</v>
      </c>
      <c r="K68" s="30">
        <f t="shared" si="25"/>
        <v>1.0276135633377e-9</v>
      </c>
      <c r="L68" s="31">
        <f t="shared" si="26"/>
        <v>7.1112087820811e-5</v>
      </c>
    </row>
    <row r="69" spans="1:12">
      <c r="A69" s="29">
        <v>68</v>
      </c>
      <c r="B69" s="30">
        <f t="shared" si="19"/>
        <v>1.96553268614386</v>
      </c>
      <c r="C69" s="30">
        <f t="shared" si="20"/>
        <v>1.60996705458647</v>
      </c>
      <c r="D69" s="30">
        <f t="shared" si="21"/>
        <v>0.00469339779617384</v>
      </c>
      <c r="E69" s="30">
        <v>68</v>
      </c>
      <c r="F69" s="30">
        <f t="shared" si="13"/>
        <v>1.96083928834769</v>
      </c>
      <c r="G69" s="30">
        <f t="shared" si="22"/>
        <v>6.50283267233931e-8</v>
      </c>
      <c r="H69" s="30">
        <v>68</v>
      </c>
      <c r="I69" s="30">
        <f t="shared" si="23"/>
        <v>0.999232925129514</v>
      </c>
      <c r="J69" s="30">
        <f t="shared" si="24"/>
        <v>-2.7624026239654</v>
      </c>
      <c r="K69" s="30">
        <f t="shared" si="25"/>
        <v>9.557284030497e-10</v>
      </c>
      <c r="L69" s="31">
        <f t="shared" si="26"/>
        <v>6.90205417820375e-5</v>
      </c>
    </row>
    <row r="70" spans="1:12">
      <c r="A70" s="29">
        <v>69</v>
      </c>
      <c r="B70" s="30">
        <f t="shared" si="19"/>
        <v>1.96546366560208</v>
      </c>
      <c r="C70" s="30">
        <f t="shared" si="20"/>
        <v>1.60996705363074</v>
      </c>
      <c r="D70" s="30">
        <f t="shared" si="21"/>
        <v>0.00462437629939672</v>
      </c>
      <c r="E70" s="30">
        <v>69</v>
      </c>
      <c r="F70" s="30">
        <f t="shared" si="13"/>
        <v>1.96083928930269</v>
      </c>
      <c r="G70" s="30">
        <f t="shared" si="22"/>
        <v>6.14345170291131e-8</v>
      </c>
      <c r="H70" s="30">
        <v>69</v>
      </c>
      <c r="I70" s="30">
        <f t="shared" si="23"/>
        <v>0.999232925166941</v>
      </c>
      <c r="J70" s="30">
        <f t="shared" si="24"/>
        <v>-2.76240262731772</v>
      </c>
      <c r="K70" s="30">
        <f t="shared" si="25"/>
        <v>8.89839417308791e-10</v>
      </c>
      <c r="L70" s="31">
        <f t="shared" si="26"/>
        <v>6.70199334817373e-5</v>
      </c>
    </row>
    <row r="71" spans="1:12">
      <c r="A71" s="29">
        <v>70</v>
      </c>
      <c r="B71" s="30">
        <f t="shared" si="19"/>
        <v>1.9653966456686</v>
      </c>
      <c r="C71" s="30">
        <f t="shared" si="20"/>
        <v>1.6099670527409</v>
      </c>
      <c r="D71" s="30">
        <f t="shared" si="21"/>
        <v>0.00455735547675795</v>
      </c>
      <c r="E71" s="30">
        <v>70</v>
      </c>
      <c r="F71" s="30">
        <f t="shared" si="13"/>
        <v>1.96083929019184</v>
      </c>
      <c r="G71" s="30">
        <f t="shared" si="22"/>
        <v>5.80884682577221e-8</v>
      </c>
      <c r="H71" s="30">
        <v>70</v>
      </c>
      <c r="I71" s="30">
        <f t="shared" si="23"/>
        <v>0.999232925201788</v>
      </c>
      <c r="J71" s="30">
        <f t="shared" si="24"/>
        <v>-2.76240263043892</v>
      </c>
      <c r="K71" s="30">
        <f t="shared" si="25"/>
        <v>8.29368058559092e-10</v>
      </c>
      <c r="L71" s="31">
        <f t="shared" si="26"/>
        <v>6.51050664003726e-5</v>
      </c>
    </row>
    <row r="72" spans="1:12">
      <c r="A72" s="29">
        <v>71</v>
      </c>
      <c r="B72" s="30">
        <f t="shared" si="19"/>
        <v>1.9653315406022</v>
      </c>
      <c r="C72" s="30">
        <f t="shared" si="20"/>
        <v>1.60996705191153</v>
      </c>
      <c r="D72" s="30">
        <f t="shared" si="21"/>
        <v>0.00449224958162553</v>
      </c>
      <c r="E72" s="30">
        <v>71</v>
      </c>
      <c r="F72" s="30">
        <f t="shared" si="13"/>
        <v>1.96083929102057</v>
      </c>
      <c r="G72" s="30">
        <f t="shared" si="22"/>
        <v>5.49698087048966e-8</v>
      </c>
      <c r="H72" s="30">
        <v>71</v>
      </c>
      <c r="I72" s="30">
        <f t="shared" si="23"/>
        <v>0.999232925234266</v>
      </c>
      <c r="J72" s="30">
        <f t="shared" si="24"/>
        <v>-2.76240263334802</v>
      </c>
      <c r="K72" s="30">
        <f t="shared" si="25"/>
        <v>7.73798951288079e-10</v>
      </c>
      <c r="L72" s="31">
        <f t="shared" si="26"/>
        <v>6.32711099777484e-5</v>
      </c>
    </row>
    <row r="73" spans="1:12">
      <c r="A73" s="29">
        <v>72</v>
      </c>
      <c r="B73" s="30">
        <f t="shared" si="19"/>
        <v>1.96526826949222</v>
      </c>
      <c r="C73" s="30">
        <f t="shared" si="20"/>
        <v>1.60996705113773</v>
      </c>
      <c r="D73" s="30">
        <f t="shared" si="21"/>
        <v>0.00442897769844253</v>
      </c>
      <c r="E73" s="30">
        <v>72</v>
      </c>
      <c r="F73" s="30">
        <f t="shared" si="13"/>
        <v>1.96083929179378</v>
      </c>
      <c r="G73" s="30">
        <f t="shared" si="22"/>
        <v>5.20601055598036e-8</v>
      </c>
      <c r="H73" s="30">
        <v>72</v>
      </c>
      <c r="I73" s="30">
        <f t="shared" si="23"/>
        <v>0.999232925264569</v>
      </c>
      <c r="J73" s="30">
        <f t="shared" si="24"/>
        <v>-2.7624026360622</v>
      </c>
      <c r="K73" s="30">
        <f t="shared" si="25"/>
        <v>7.22672226073261e-10</v>
      </c>
      <c r="L73" s="31">
        <f t="shared" si="26"/>
        <v>6.151356911562e-5</v>
      </c>
    </row>
    <row r="74" spans="1:12">
      <c r="A74" s="29">
        <v>73</v>
      </c>
      <c r="B74" s="30">
        <f t="shared" si="19"/>
        <v>1.96520675592311</v>
      </c>
      <c r="C74" s="30">
        <f t="shared" si="20"/>
        <v>1.60996705041506</v>
      </c>
      <c r="D74" s="30">
        <f t="shared" si="21"/>
        <v>0.00436746340720928</v>
      </c>
      <c r="E74" s="30">
        <v>73</v>
      </c>
      <c r="F74" s="30">
        <f t="shared" si="13"/>
        <v>1.9608392925159</v>
      </c>
      <c r="G74" s="30">
        <f t="shared" si="22"/>
        <v>4.93426535186359e-8</v>
      </c>
      <c r="H74" s="30">
        <v>73</v>
      </c>
      <c r="I74" s="30">
        <f t="shared" si="23"/>
        <v>0.999232925292869</v>
      </c>
      <c r="J74" s="30">
        <f t="shared" si="24"/>
        <v>-2.76240263859705</v>
      </c>
      <c r="K74" s="30">
        <f t="shared" si="25"/>
        <v>6.75576829268374e-10</v>
      </c>
      <c r="L74" s="31">
        <f t="shared" si="26"/>
        <v>5.98282566048037e-5</v>
      </c>
    </row>
    <row r="75" spans="1:12">
      <c r="A75" s="29">
        <v>74</v>
      </c>
      <c r="B75" s="30">
        <f t="shared" si="19"/>
        <v>1.9651469276665</v>
      </c>
      <c r="C75" s="30">
        <f t="shared" si="20"/>
        <v>1.60996704973948</v>
      </c>
      <c r="D75" s="30">
        <f t="shared" si="21"/>
        <v>0.00430763447554527</v>
      </c>
      <c r="E75" s="30">
        <v>74</v>
      </c>
      <c r="F75" s="30">
        <f t="shared" si="13"/>
        <v>1.96083929319096</v>
      </c>
      <c r="G75" s="30">
        <f t="shared" si="22"/>
        <v>4.68022913757693e-8</v>
      </c>
      <c r="H75" s="30">
        <v>74</v>
      </c>
      <c r="I75" s="30">
        <f t="shared" si="23"/>
        <v>0.999232925319325</v>
      </c>
      <c r="J75" s="30">
        <f t="shared" si="24"/>
        <v>-2.7624026409667</v>
      </c>
      <c r="K75" s="30">
        <f t="shared" si="25"/>
        <v>6.32144752185761e-10</v>
      </c>
      <c r="L75" s="31">
        <f t="shared" si="26"/>
        <v>5.82112681606138e-5</v>
      </c>
    </row>
    <row r="76" spans="1:12">
      <c r="A76" s="29">
        <v>75</v>
      </c>
      <c r="B76" s="30">
        <f t="shared" si="19"/>
        <v>1.96508871639834</v>
      </c>
      <c r="C76" s="30">
        <f t="shared" si="20"/>
        <v>1.60996704910734</v>
      </c>
      <c r="D76" s="30">
        <f t="shared" si="21"/>
        <v>0.0042494225757248</v>
      </c>
      <c r="E76" s="30">
        <v>75</v>
      </c>
      <c r="F76" s="30">
        <f t="shared" si="13"/>
        <v>1.96083929382262</v>
      </c>
      <c r="G76" s="30">
        <f t="shared" si="22"/>
        <v>4.44252479248064e-8</v>
      </c>
      <c r="H76" s="30">
        <v>75</v>
      </c>
      <c r="I76" s="30">
        <f t="shared" si="23"/>
        <v>0.99923292534408</v>
      </c>
      <c r="J76" s="30">
        <f t="shared" si="24"/>
        <v>-2.76240264318402</v>
      </c>
      <c r="K76" s="30">
        <f t="shared" si="25"/>
        <v>5.92046111847754e-10</v>
      </c>
      <c r="L76" s="31">
        <f t="shared" si="26"/>
        <v>5.66589597884378e-5</v>
      </c>
    </row>
    <row r="77" spans="1:12">
      <c r="A77" s="29">
        <v>76</v>
      </c>
      <c r="B77" s="30">
        <f t="shared" si="19"/>
        <v>1.96503205743855</v>
      </c>
      <c r="C77" s="30">
        <f t="shared" si="20"/>
        <v>1.60996704851529</v>
      </c>
      <c r="D77" s="30">
        <f t="shared" si="21"/>
        <v>0.00419276302434479</v>
      </c>
      <c r="E77" s="30">
        <v>76</v>
      </c>
      <c r="F77" s="30">
        <f t="shared" ref="F77:F101" si="27">B77-D77</f>
        <v>1.96083929441421</v>
      </c>
      <c r="G77" s="30">
        <f t="shared" si="22"/>
        <v>4.21989874155315e-8</v>
      </c>
      <c r="H77" s="30">
        <v>76</v>
      </c>
      <c r="I77" s="30">
        <f t="shared" si="23"/>
        <v>0.999232925367265</v>
      </c>
      <c r="J77" s="30">
        <f t="shared" si="24"/>
        <v>-2.76240264526068</v>
      </c>
      <c r="K77" s="30">
        <f t="shared" si="25"/>
        <v>5.54984613679134e-10</v>
      </c>
      <c r="L77" s="31">
        <f t="shared" si="26"/>
        <v>5.51679272340249e-5</v>
      </c>
    </row>
    <row r="78" spans="1:12">
      <c r="A78" s="29">
        <v>77</v>
      </c>
      <c r="B78" s="30">
        <f t="shared" si="19"/>
        <v>1.96497688951132</v>
      </c>
      <c r="C78" s="30">
        <f t="shared" si="20"/>
        <v>1.60996704796031</v>
      </c>
      <c r="D78" s="30">
        <f t="shared" si="21"/>
        <v>0.00413759454255169</v>
      </c>
      <c r="E78" s="30">
        <v>77</v>
      </c>
      <c r="F78" s="30">
        <f t="shared" si="27"/>
        <v>1.96083929496877</v>
      </c>
      <c r="G78" s="30">
        <f t="shared" si="22"/>
        <v>4.01120874293781e-8</v>
      </c>
      <c r="H78" s="30">
        <v>77</v>
      </c>
      <c r="I78" s="30">
        <f t="shared" si="23"/>
        <v>0.999232925388999</v>
      </c>
      <c r="J78" s="30">
        <f t="shared" si="24"/>
        <v>-2.76240264720735</v>
      </c>
      <c r="K78" s="30">
        <f t="shared" si="25"/>
        <v>5.20693788075141e-10</v>
      </c>
      <c r="L78" s="31">
        <f t="shared" si="26"/>
        <v>5.37349873020431e-5</v>
      </c>
    </row>
    <row r="79" spans="1:12">
      <c r="A79" s="29">
        <v>78</v>
      </c>
      <c r="B79" s="30">
        <f t="shared" si="19"/>
        <v>1.96492315452402</v>
      </c>
      <c r="C79" s="30">
        <f t="shared" si="20"/>
        <v>1.60996704743961</v>
      </c>
      <c r="D79" s="30">
        <f t="shared" si="21"/>
        <v>0.00408385903495567</v>
      </c>
      <c r="E79" s="30">
        <v>78</v>
      </c>
      <c r="F79" s="30">
        <f t="shared" si="27"/>
        <v>1.96083929548906</v>
      </c>
      <c r="G79" s="30">
        <f t="shared" si="22"/>
        <v>3.81541322980183e-8</v>
      </c>
      <c r="H79" s="30">
        <v>78</v>
      </c>
      <c r="I79" s="30">
        <f t="shared" si="23"/>
        <v>0.99923292540939</v>
      </c>
      <c r="J79" s="30">
        <f t="shared" si="24"/>
        <v>-2.76240264903373</v>
      </c>
      <c r="K79" s="30">
        <f t="shared" si="25"/>
        <v>4.8893371523514e-10</v>
      </c>
      <c r="L79" s="31">
        <f t="shared" si="26"/>
        <v>5.23571608512437e-5</v>
      </c>
    </row>
    <row r="80" spans="1:12">
      <c r="A80" s="29">
        <v>79</v>
      </c>
      <c r="B80" s="30">
        <f t="shared" si="19"/>
        <v>1.96487079736317</v>
      </c>
      <c r="C80" s="30">
        <f t="shared" si="20"/>
        <v>1.60996704695068</v>
      </c>
      <c r="D80" s="30">
        <f t="shared" si="21"/>
        <v>0.00403150138554542</v>
      </c>
      <c r="E80" s="30">
        <v>79</v>
      </c>
      <c r="F80" s="30">
        <f t="shared" si="27"/>
        <v>1.96083929597762</v>
      </c>
      <c r="G80" s="30">
        <f t="shared" si="22"/>
        <v>3.63156011928822e-8</v>
      </c>
      <c r="H80" s="30">
        <v>79</v>
      </c>
      <c r="I80" s="30">
        <f t="shared" si="23"/>
        <v>0.999232925428537</v>
      </c>
      <c r="J80" s="30">
        <f t="shared" si="24"/>
        <v>-2.76240265074872</v>
      </c>
      <c r="K80" s="30">
        <f t="shared" si="25"/>
        <v>4.59487930972568e-10</v>
      </c>
      <c r="L80" s="31">
        <f t="shared" si="26"/>
        <v>5.10316572963285e-5</v>
      </c>
    </row>
    <row r="81" spans="1:12">
      <c r="A81" s="29">
        <v>80</v>
      </c>
      <c r="B81" s="30">
        <f t="shared" ref="B81:B101" si="28">B80-L80</f>
        <v>1.96481976570587</v>
      </c>
      <c r="C81" s="30">
        <f t="shared" ref="C81:C101" si="29">C80-K80</f>
        <v>1.60996704649119</v>
      </c>
      <c r="D81" s="30">
        <f t="shared" ref="D81:D101" si="30">B81-COS(C81)-2</f>
        <v>0.00398046926911366</v>
      </c>
      <c r="E81" s="30">
        <v>80</v>
      </c>
      <c r="F81" s="30">
        <f t="shared" si="27"/>
        <v>1.96083929643676</v>
      </c>
      <c r="G81" s="30">
        <f t="shared" ref="G81:G101" si="31">C81-SIN(3*F81)-2</f>
        <v>3.45877970708841e-8</v>
      </c>
      <c r="H81" s="30">
        <v>80</v>
      </c>
      <c r="I81" s="30">
        <f t="shared" ref="I81:I101" si="32">SIN(C81)</f>
        <v>0.999232925446531</v>
      </c>
      <c r="J81" s="30">
        <f t="shared" ref="J81:J101" si="33">-3*COS(3*F81)</f>
        <v>-2.76240265236042</v>
      </c>
      <c r="K81" s="30">
        <f t="shared" ref="K81:K101" si="34">G81*E81/(E81*H81-I81*J81)</f>
        <v>4.32161074766777e-10</v>
      </c>
      <c r="L81" s="31">
        <f t="shared" ref="L81:L101" si="35">(D81-K81*I81)/E81</f>
        <v>4.97558604660511e-5</v>
      </c>
    </row>
    <row r="82" spans="1:12">
      <c r="A82" s="29">
        <v>81</v>
      </c>
      <c r="B82" s="30">
        <f t="shared" si="28"/>
        <v>1.9647700098454</v>
      </c>
      <c r="C82" s="30">
        <f t="shared" si="29"/>
        <v>1.60996704605903</v>
      </c>
      <c r="D82" s="30">
        <f t="shared" si="30"/>
        <v>0.00393071297681802</v>
      </c>
      <c r="E82" s="30">
        <v>81</v>
      </c>
      <c r="F82" s="30">
        <f t="shared" si="27"/>
        <v>1.96083929686858</v>
      </c>
      <c r="G82" s="30">
        <f t="shared" si="31"/>
        <v>3.29627485307071e-8</v>
      </c>
      <c r="H82" s="30">
        <v>81</v>
      </c>
      <c r="I82" s="30">
        <f t="shared" si="32"/>
        <v>0.999232925463454</v>
      </c>
      <c r="J82" s="30">
        <f t="shared" si="33"/>
        <v>-2.76240265387627</v>
      </c>
      <c r="K82" s="30">
        <f t="shared" si="34"/>
        <v>4.06776377501746e-10</v>
      </c>
      <c r="L82" s="31">
        <f t="shared" si="35"/>
        <v>4.85273156833786e-5</v>
      </c>
    </row>
    <row r="83" spans="1:12">
      <c r="A83" s="29">
        <v>82</v>
      </c>
      <c r="B83" s="30">
        <f t="shared" si="28"/>
        <v>1.96472148252972</v>
      </c>
      <c r="C83" s="30">
        <f t="shared" si="29"/>
        <v>1.60996704565225</v>
      </c>
      <c r="D83" s="30">
        <f t="shared" si="30"/>
        <v>0.00388218525467021</v>
      </c>
      <c r="E83" s="30">
        <v>82</v>
      </c>
      <c r="F83" s="30">
        <f t="shared" si="27"/>
        <v>1.96083929727505</v>
      </c>
      <c r="G83" s="30">
        <f t="shared" si="31"/>
        <v>3.14331534134737e-8</v>
      </c>
      <c r="H83" s="30">
        <v>82</v>
      </c>
      <c r="I83" s="30">
        <f t="shared" si="32"/>
        <v>0.999232925479384</v>
      </c>
      <c r="J83" s="30">
        <f t="shared" si="33"/>
        <v>-2.76240265530308</v>
      </c>
      <c r="K83" s="30">
        <f t="shared" si="34"/>
        <v>3.83173841671705e-10</v>
      </c>
      <c r="L83" s="31">
        <f t="shared" si="35"/>
        <v>4.73437179486621e-5</v>
      </c>
    </row>
    <row r="84" spans="1:12">
      <c r="A84" s="29">
        <v>83</v>
      </c>
      <c r="B84" s="30">
        <f t="shared" si="28"/>
        <v>1.96467413881177</v>
      </c>
      <c r="C84" s="30">
        <f t="shared" si="29"/>
        <v>1.60996704526908</v>
      </c>
      <c r="D84" s="30">
        <f t="shared" si="30"/>
        <v>0.00383484115384158</v>
      </c>
      <c r="E84" s="30">
        <v>83</v>
      </c>
      <c r="F84" s="30">
        <f t="shared" si="27"/>
        <v>1.96083929765793</v>
      </c>
      <c r="G84" s="30">
        <f t="shared" si="31"/>
        <v>2.99923113011857e-8</v>
      </c>
      <c r="H84" s="30">
        <v>83</v>
      </c>
      <c r="I84" s="30">
        <f t="shared" si="32"/>
        <v>0.999232925494389</v>
      </c>
      <c r="J84" s="30">
        <f t="shared" si="33"/>
        <v>-2.7624026566471</v>
      </c>
      <c r="K84" s="30">
        <f t="shared" si="34"/>
        <v>3.61208419261252e-10</v>
      </c>
      <c r="L84" s="31">
        <f t="shared" si="35"/>
        <v>4.62029011194005e-5</v>
      </c>
    </row>
    <row r="85" spans="1:12">
      <c r="A85" s="29">
        <v>84</v>
      </c>
      <c r="B85" s="30">
        <f t="shared" si="28"/>
        <v>1.96462793591065</v>
      </c>
      <c r="C85" s="30">
        <f t="shared" si="29"/>
        <v>1.60996704490787</v>
      </c>
      <c r="D85" s="30">
        <f t="shared" si="30"/>
        <v>0.00378863789179107</v>
      </c>
      <c r="E85" s="30">
        <v>84</v>
      </c>
      <c r="F85" s="30">
        <f t="shared" si="27"/>
        <v>1.96083929801886</v>
      </c>
      <c r="G85" s="30">
        <f t="shared" si="31"/>
        <v>2.86340657851269e-8</v>
      </c>
      <c r="H85" s="30">
        <v>84</v>
      </c>
      <c r="I85" s="30">
        <f t="shared" si="32"/>
        <v>0.999232925508534</v>
      </c>
      <c r="J85" s="30">
        <f t="shared" si="33"/>
        <v>-2.76240265791408</v>
      </c>
      <c r="K85" s="30">
        <f t="shared" si="34"/>
        <v>3.40748435884487e-10</v>
      </c>
      <c r="L85" s="31">
        <f t="shared" si="35"/>
        <v>4.51028279917144e-5</v>
      </c>
    </row>
    <row r="86" spans="1:12">
      <c r="A86" s="29">
        <v>85</v>
      </c>
      <c r="B86" s="30">
        <f t="shared" si="28"/>
        <v>1.96458283308266</v>
      </c>
      <c r="C86" s="30">
        <f t="shared" si="29"/>
        <v>1.60996704456712</v>
      </c>
      <c r="D86" s="30">
        <f t="shared" si="30"/>
        <v>0.0037435347233119</v>
      </c>
      <c r="E86" s="30">
        <v>85</v>
      </c>
      <c r="F86" s="30">
        <f t="shared" si="27"/>
        <v>1.96083929835935</v>
      </c>
      <c r="G86" s="30">
        <f t="shared" si="31"/>
        <v>2.73527542837826e-8</v>
      </c>
      <c r="H86" s="30">
        <v>85</v>
      </c>
      <c r="I86" s="30">
        <f t="shared" si="32"/>
        <v>0.999232925521878</v>
      </c>
      <c r="J86" s="30">
        <f t="shared" si="33"/>
        <v>-2.76240265910929</v>
      </c>
      <c r="K86" s="30">
        <f t="shared" si="34"/>
        <v>3.21674214814215e-10</v>
      </c>
      <c r="L86" s="31">
        <f t="shared" si="35"/>
        <v>4.40415811986404e-5</v>
      </c>
    </row>
    <row r="87" spans="1:12">
      <c r="A87" s="29">
        <v>86</v>
      </c>
      <c r="B87" s="30">
        <f t="shared" si="28"/>
        <v>1.96453879150146</v>
      </c>
      <c r="C87" s="30">
        <f t="shared" si="29"/>
        <v>1.60996704424545</v>
      </c>
      <c r="D87" s="30">
        <f t="shared" si="30"/>
        <v>0.00369949282068571</v>
      </c>
      <c r="E87" s="30">
        <v>86</v>
      </c>
      <c r="F87" s="30">
        <f t="shared" si="27"/>
        <v>1.96083929868078</v>
      </c>
      <c r="G87" s="30">
        <f t="shared" si="31"/>
        <v>2.61431676307211e-8</v>
      </c>
      <c r="H87" s="30">
        <v>86</v>
      </c>
      <c r="I87" s="30">
        <f t="shared" si="32"/>
        <v>0.999232925534475</v>
      </c>
      <c r="J87" s="30">
        <f t="shared" si="33"/>
        <v>-2.7624026602376</v>
      </c>
      <c r="K87" s="30">
        <f t="shared" si="34"/>
        <v>3.0387691045995e-10</v>
      </c>
      <c r="L87" s="31">
        <f t="shared" si="35"/>
        <v>4.30173548493244e-5</v>
      </c>
    </row>
    <row r="88" spans="1:12">
      <c r="A88" s="29">
        <v>87</v>
      </c>
      <c r="B88" s="30">
        <f t="shared" si="28"/>
        <v>1.96449577414661</v>
      </c>
      <c r="C88" s="30">
        <f t="shared" si="29"/>
        <v>1.60996704394157</v>
      </c>
      <c r="D88" s="30">
        <f t="shared" si="30"/>
        <v>0.00365647516219259</v>
      </c>
      <c r="E88" s="30">
        <v>87</v>
      </c>
      <c r="F88" s="30">
        <f t="shared" si="27"/>
        <v>1.96083929898442</v>
      </c>
      <c r="G88" s="30">
        <f t="shared" si="31"/>
        <v>2.50005043334056e-8</v>
      </c>
      <c r="H88" s="30">
        <v>87</v>
      </c>
      <c r="I88" s="30">
        <f t="shared" si="32"/>
        <v>0.999232925546375</v>
      </c>
      <c r="J88" s="30">
        <f t="shared" si="33"/>
        <v>-2.76240266130348</v>
      </c>
      <c r="K88" s="30">
        <f t="shared" si="34"/>
        <v>2.87257360972013e-10</v>
      </c>
      <c r="L88" s="31">
        <f t="shared" si="35"/>
        <v>4.20284468408686e-5</v>
      </c>
    </row>
    <row r="89" spans="1:12">
      <c r="A89" s="29">
        <v>88</v>
      </c>
      <c r="B89" s="30">
        <f t="shared" si="28"/>
        <v>1.96445374569977</v>
      </c>
      <c r="C89" s="30">
        <f t="shared" si="29"/>
        <v>1.60996704365431</v>
      </c>
      <c r="D89" s="30">
        <f t="shared" si="30"/>
        <v>0.00361444642831499</v>
      </c>
      <c r="E89" s="30">
        <v>88</v>
      </c>
      <c r="F89" s="30">
        <f t="shared" si="27"/>
        <v>1.96083929927146</v>
      </c>
      <c r="G89" s="30">
        <f t="shared" si="31"/>
        <v>2.39203350460571e-8</v>
      </c>
      <c r="H89" s="30">
        <v>88</v>
      </c>
      <c r="I89" s="30">
        <f t="shared" si="32"/>
        <v>0.999232925557625</v>
      </c>
      <c r="J89" s="30">
        <f t="shared" si="33"/>
        <v>-2.76240266231106</v>
      </c>
      <c r="K89" s="30">
        <f t="shared" si="34"/>
        <v>2.71725135019838e-10</v>
      </c>
      <c r="L89" s="31">
        <f t="shared" si="35"/>
        <v>4.10732517817987e-5</v>
      </c>
    </row>
    <row r="90" spans="1:12">
      <c r="A90" s="29">
        <v>89</v>
      </c>
      <c r="B90" s="30">
        <f t="shared" si="28"/>
        <v>1.96441267244799</v>
      </c>
      <c r="C90" s="30">
        <f t="shared" si="29"/>
        <v>1.60996704338259</v>
      </c>
      <c r="D90" s="30">
        <f t="shared" si="30"/>
        <v>0.00357337290501647</v>
      </c>
      <c r="E90" s="30">
        <v>89</v>
      </c>
      <c r="F90" s="30">
        <f t="shared" si="27"/>
        <v>1.96083929954297</v>
      </c>
      <c r="G90" s="30">
        <f t="shared" si="31"/>
        <v>2.28985714834096e-8</v>
      </c>
      <c r="H90" s="30">
        <v>89</v>
      </c>
      <c r="I90" s="30">
        <f t="shared" si="32"/>
        <v>0.999232925568266</v>
      </c>
      <c r="J90" s="30">
        <f t="shared" si="33"/>
        <v>-2.76240266326417</v>
      </c>
      <c r="K90" s="30">
        <f t="shared" si="34"/>
        <v>2.57197692643114e-10</v>
      </c>
      <c r="L90" s="31">
        <f t="shared" si="35"/>
        <v>4.01502544720906e-5</v>
      </c>
    </row>
    <row r="91" spans="1:12">
      <c r="A91" s="29">
        <v>90</v>
      </c>
      <c r="B91" s="30">
        <f t="shared" si="28"/>
        <v>1.96437252219352</v>
      </c>
      <c r="C91" s="30">
        <f t="shared" si="29"/>
        <v>1.60996704312539</v>
      </c>
      <c r="D91" s="30">
        <f t="shared" si="30"/>
        <v>0.00353322239354403</v>
      </c>
      <c r="E91" s="30">
        <v>90</v>
      </c>
      <c r="F91" s="30">
        <f t="shared" si="27"/>
        <v>1.96083929979997</v>
      </c>
      <c r="G91" s="30">
        <f t="shared" si="31"/>
        <v>2.19314353344657e-8</v>
      </c>
      <c r="H91" s="30">
        <v>90</v>
      </c>
      <c r="I91" s="30">
        <f t="shared" si="32"/>
        <v>0.999232925578338</v>
      </c>
      <c r="J91" s="30">
        <f t="shared" si="33"/>
        <v>-2.76240266416631</v>
      </c>
      <c r="K91" s="30">
        <f t="shared" si="34"/>
        <v>2.43599601986699e-10</v>
      </c>
      <c r="L91" s="31">
        <f t="shared" si="35"/>
        <v>3.92580238903477e-5</v>
      </c>
    </row>
    <row r="92" spans="1:12">
      <c r="A92" s="29">
        <v>91</v>
      </c>
      <c r="B92" s="30">
        <f t="shared" si="28"/>
        <v>1.96433326416963</v>
      </c>
      <c r="C92" s="30">
        <f t="shared" si="29"/>
        <v>1.60996704288179</v>
      </c>
      <c r="D92" s="30">
        <f t="shared" si="30"/>
        <v>0.00349396412624126</v>
      </c>
      <c r="E92" s="30">
        <v>91</v>
      </c>
      <c r="F92" s="30">
        <f t="shared" si="27"/>
        <v>1.96083930004339</v>
      </c>
      <c r="G92" s="30">
        <f t="shared" si="31"/>
        <v>2.10154329494117e-8</v>
      </c>
      <c r="H92" s="30">
        <v>91</v>
      </c>
      <c r="I92" s="30">
        <f t="shared" si="32"/>
        <v>0.999232925587877</v>
      </c>
      <c r="J92" s="30">
        <f t="shared" si="33"/>
        <v>-2.76240266502076</v>
      </c>
      <c r="K92" s="30">
        <f t="shared" si="34"/>
        <v>2.3086187104669e-10</v>
      </c>
      <c r="L92" s="31">
        <f t="shared" si="35"/>
        <v>3.83952076434777e-5</v>
      </c>
    </row>
    <row r="93" spans="1:12">
      <c r="A93" s="29">
        <v>92</v>
      </c>
      <c r="B93" s="30">
        <f t="shared" si="28"/>
        <v>1.96429486896198</v>
      </c>
      <c r="C93" s="30">
        <f t="shared" si="29"/>
        <v>1.60996704265093</v>
      </c>
      <c r="D93" s="30">
        <f t="shared" si="30"/>
        <v>0.00345556868791297</v>
      </c>
      <c r="E93" s="30">
        <v>92</v>
      </c>
      <c r="F93" s="30">
        <f t="shared" si="27"/>
        <v>1.96083930027407</v>
      </c>
      <c r="G93" s="30">
        <f t="shared" si="31"/>
        <v>2.01473269179075e-8</v>
      </c>
      <c r="H93" s="30">
        <v>92</v>
      </c>
      <c r="I93" s="30">
        <f t="shared" si="32"/>
        <v>0.999232925596918</v>
      </c>
      <c r="J93" s="30">
        <f t="shared" si="33"/>
        <v>-2.76240266583054</v>
      </c>
      <c r="K93" s="30">
        <f t="shared" si="34"/>
        <v>2.18921289175562e-10</v>
      </c>
      <c r="L93" s="31">
        <f t="shared" si="35"/>
        <v>3.75605268386914e-5</v>
      </c>
    </row>
    <row r="94" spans="1:12">
      <c r="A94" s="29">
        <v>93</v>
      </c>
      <c r="B94" s="30">
        <f t="shared" si="28"/>
        <v>1.96425730843514</v>
      </c>
      <c r="C94" s="30">
        <f t="shared" si="29"/>
        <v>1.60996704243201</v>
      </c>
      <c r="D94" s="30">
        <f t="shared" si="30"/>
        <v>0.00341800794232094</v>
      </c>
      <c r="E94" s="30">
        <v>93</v>
      </c>
      <c r="F94" s="30">
        <f t="shared" si="27"/>
        <v>1.96083930049282</v>
      </c>
      <c r="G94" s="30">
        <f t="shared" si="31"/>
        <v>1.93241209700545e-8</v>
      </c>
      <c r="H94" s="30">
        <v>93</v>
      </c>
      <c r="I94" s="30">
        <f t="shared" si="32"/>
        <v>0.999232925605491</v>
      </c>
      <c r="J94" s="30">
        <f t="shared" si="33"/>
        <v>-2.76240266659842</v>
      </c>
      <c r="K94" s="30">
        <f t="shared" si="34"/>
        <v>2.07719954238824e-10</v>
      </c>
      <c r="L94" s="31">
        <f t="shared" si="35"/>
        <v>3.67527713415089e-5</v>
      </c>
    </row>
    <row r="95" spans="1:12">
      <c r="A95" s="29">
        <v>94</v>
      </c>
      <c r="B95" s="30">
        <f t="shared" si="28"/>
        <v>1.9642205556638</v>
      </c>
      <c r="C95" s="30">
        <f t="shared" si="29"/>
        <v>1.60996704222429</v>
      </c>
      <c r="D95" s="30">
        <f t="shared" si="30"/>
        <v>0.00338125496341846</v>
      </c>
      <c r="E95" s="30">
        <v>94</v>
      </c>
      <c r="F95" s="30">
        <f t="shared" si="27"/>
        <v>1.96083930070038</v>
      </c>
      <c r="G95" s="30">
        <f t="shared" si="31"/>
        <v>1.85430333310421e-8</v>
      </c>
      <c r="H95" s="30">
        <v>94</v>
      </c>
      <c r="I95" s="30">
        <f t="shared" si="32"/>
        <v>0.999232925613625</v>
      </c>
      <c r="J95" s="30">
        <f t="shared" si="33"/>
        <v>-2.76240266732703</v>
      </c>
      <c r="K95" s="30">
        <f t="shared" si="34"/>
        <v>1.97204707127604e-10</v>
      </c>
      <c r="L95" s="31">
        <f t="shared" si="35"/>
        <v>3.59707953868619e-5</v>
      </c>
    </row>
    <row r="96" spans="1:12">
      <c r="A96" s="29">
        <v>95</v>
      </c>
      <c r="B96" s="30">
        <f t="shared" si="28"/>
        <v>1.96418458486842</v>
      </c>
      <c r="C96" s="30">
        <f t="shared" si="29"/>
        <v>1.60996704202708</v>
      </c>
      <c r="D96" s="30">
        <f t="shared" si="30"/>
        <v>0.00334528397097866</v>
      </c>
      <c r="E96" s="30">
        <v>95</v>
      </c>
      <c r="F96" s="30">
        <f t="shared" si="27"/>
        <v>1.96083930089744</v>
      </c>
      <c r="G96" s="30">
        <f t="shared" si="31"/>
        <v>1.78014887275424e-8</v>
      </c>
      <c r="H96" s="30">
        <v>95</v>
      </c>
      <c r="I96" s="30">
        <f t="shared" si="32"/>
        <v>0.999232925621348</v>
      </c>
      <c r="J96" s="30">
        <f t="shared" si="33"/>
        <v>-2.76240266801874</v>
      </c>
      <c r="K96" s="30">
        <f t="shared" si="34"/>
        <v>1.87326798228128e-10</v>
      </c>
      <c r="L96" s="31">
        <f t="shared" si="35"/>
        <v>3.52135135136375e-5</v>
      </c>
    </row>
    <row r="97" spans="1:12">
      <c r="A97" s="29">
        <v>96</v>
      </c>
      <c r="B97" s="30">
        <f t="shared" si="28"/>
        <v>1.9641493713549</v>
      </c>
      <c r="C97" s="30">
        <f t="shared" si="29"/>
        <v>1.60996704183976</v>
      </c>
      <c r="D97" s="30">
        <f t="shared" si="30"/>
        <v>0.00331007027028196</v>
      </c>
      <c r="E97" s="30">
        <v>96</v>
      </c>
      <c r="F97" s="30">
        <f t="shared" si="27"/>
        <v>1.96083930108462</v>
      </c>
      <c r="G97" s="30">
        <f t="shared" si="31"/>
        <v>1.70970864132869e-8</v>
      </c>
      <c r="H97" s="30">
        <v>96</v>
      </c>
      <c r="I97" s="30">
        <f t="shared" si="32"/>
        <v>0.999232925628684</v>
      </c>
      <c r="J97" s="30">
        <f t="shared" si="33"/>
        <v>-2.76240266867581</v>
      </c>
      <c r="K97" s="30">
        <f t="shared" si="34"/>
        <v>1.78041324990037e-10</v>
      </c>
      <c r="L97" s="31">
        <f t="shared" si="35"/>
        <v>3.44798967955959e-5</v>
      </c>
    </row>
    <row r="98" spans="1:12">
      <c r="A98" s="29">
        <v>97</v>
      </c>
      <c r="B98" s="30">
        <f t="shared" si="28"/>
        <v>1.96411489145811</v>
      </c>
      <c r="C98" s="30">
        <f t="shared" si="29"/>
        <v>1.60996704166172</v>
      </c>
      <c r="D98" s="30">
        <f t="shared" si="30"/>
        <v>0.00327559019558166</v>
      </c>
      <c r="E98" s="30">
        <v>97</v>
      </c>
      <c r="F98" s="30">
        <f t="shared" si="27"/>
        <v>1.96083930126253</v>
      </c>
      <c r="G98" s="30">
        <f t="shared" si="31"/>
        <v>1.64276010572451e-8</v>
      </c>
      <c r="H98" s="30">
        <v>97</v>
      </c>
      <c r="I98" s="30">
        <f t="shared" si="32"/>
        <v>0.999232925635656</v>
      </c>
      <c r="J98" s="30">
        <f t="shared" si="33"/>
        <v>-2.76240266930031</v>
      </c>
      <c r="K98" s="30">
        <f t="shared" si="34"/>
        <v>1.69307042946291e-10</v>
      </c>
      <c r="L98" s="31">
        <f t="shared" si="35"/>
        <v>3.37689693443761e-5</v>
      </c>
    </row>
    <row r="99" spans="1:12">
      <c r="A99" s="29">
        <v>98</v>
      </c>
      <c r="B99" s="30">
        <f t="shared" si="28"/>
        <v>1.96408112248876</v>
      </c>
      <c r="C99" s="30">
        <f t="shared" si="29"/>
        <v>1.60996704149241</v>
      </c>
      <c r="D99" s="30">
        <f t="shared" si="30"/>
        <v>0.00324182105706017</v>
      </c>
      <c r="E99" s="30">
        <v>98</v>
      </c>
      <c r="F99" s="30">
        <f t="shared" si="27"/>
        <v>1.9608393014317</v>
      </c>
      <c r="G99" s="30">
        <f t="shared" si="31"/>
        <v>1.57909583187177e-8</v>
      </c>
      <c r="H99" s="30">
        <v>98</v>
      </c>
      <c r="I99" s="30">
        <f t="shared" si="32"/>
        <v>0.999232925642286</v>
      </c>
      <c r="J99" s="30">
        <f t="shared" si="33"/>
        <v>-2.76240266989417</v>
      </c>
      <c r="K99" s="30">
        <f t="shared" si="34"/>
        <v>1.61085930067368e-10</v>
      </c>
      <c r="L99" s="31">
        <f t="shared" si="35"/>
        <v>3.30798050622225e-5</v>
      </c>
    </row>
    <row r="100" spans="1:12">
      <c r="A100" s="29">
        <v>99</v>
      </c>
      <c r="B100" s="30">
        <f t="shared" si="28"/>
        <v>1.9640480426837</v>
      </c>
      <c r="C100" s="30">
        <f t="shared" si="29"/>
        <v>1.60996704133132</v>
      </c>
      <c r="D100" s="30">
        <f t="shared" si="30"/>
        <v>0.00320874109103508</v>
      </c>
      <c r="E100" s="30">
        <v>99</v>
      </c>
      <c r="F100" s="30">
        <f t="shared" si="27"/>
        <v>1.96083930159267</v>
      </c>
      <c r="G100" s="30">
        <f t="shared" si="31"/>
        <v>1.51852281859988e-8</v>
      </c>
      <c r="H100" s="30">
        <v>99</v>
      </c>
      <c r="I100" s="30">
        <f t="shared" si="32"/>
        <v>0.999232925648595</v>
      </c>
      <c r="J100" s="30">
        <f t="shared" si="33"/>
        <v>-2.7624026704592</v>
      </c>
      <c r="K100" s="30">
        <f t="shared" si="34"/>
        <v>1.53342956876764e-10</v>
      </c>
      <c r="L100" s="31">
        <f t="shared" si="35"/>
        <v>3.24115246243409e-5</v>
      </c>
    </row>
    <row r="101" ht="15.15" spans="1:12">
      <c r="A101" s="32">
        <v>100</v>
      </c>
      <c r="B101" s="33">
        <f t="shared" si="28"/>
        <v>1.96401563115908</v>
      </c>
      <c r="C101" s="33">
        <f t="shared" si="29"/>
        <v>1.60996704117798</v>
      </c>
      <c r="D101" s="34">
        <f t="shared" si="30"/>
        <v>0.00317632941318546</v>
      </c>
      <c r="E101" s="34">
        <v>100</v>
      </c>
      <c r="F101" s="34">
        <f t="shared" si="27"/>
        <v>1.96083930174589</v>
      </c>
      <c r="G101" s="34">
        <f t="shared" si="31"/>
        <v>1.46086156505021e-8</v>
      </c>
      <c r="H101" s="34">
        <v>100</v>
      </c>
      <c r="I101" s="34">
        <f t="shared" si="32"/>
        <v>0.9992329256546</v>
      </c>
      <c r="J101" s="34">
        <f t="shared" si="33"/>
        <v>-2.76240267099706</v>
      </c>
      <c r="K101" s="34">
        <f t="shared" si="34"/>
        <v>1.46045843708796e-10</v>
      </c>
      <c r="L101" s="35">
        <f t="shared" si="35"/>
        <v>3.17632926725165e-5</v>
      </c>
    </row>
    <row r="104" spans="2:13">
      <c r="B104" s="36"/>
      <c r="C104" s="36"/>
      <c r="D104" s="36"/>
      <c r="E104" s="36"/>
      <c r="F104" s="36"/>
      <c r="G104" s="36"/>
      <c r="H104" s="36"/>
      <c r="I104" s="36"/>
      <c r="J104" s="36"/>
      <c r="K104" s="36"/>
      <c r="L104" s="36"/>
      <c r="M104" s="36"/>
    </row>
    <row r="105" spans="2:13">
      <c r="B105" s="36"/>
      <c r="C105" s="36"/>
      <c r="D105" s="36"/>
      <c r="E105" s="36"/>
      <c r="F105" s="36"/>
      <c r="G105" s="36"/>
      <c r="H105" s="36"/>
      <c r="I105" s="36"/>
      <c r="J105" s="36"/>
      <c r="K105" s="36"/>
      <c r="L105" s="36"/>
      <c r="M105" s="36"/>
    </row>
    <row r="106" spans="2:13">
      <c r="B106" s="36"/>
      <c r="C106" s="36"/>
      <c r="D106" s="36"/>
      <c r="E106" s="36"/>
      <c r="F106" s="36"/>
      <c r="G106" s="36"/>
      <c r="H106" s="36"/>
      <c r="I106" s="36"/>
      <c r="J106" s="36"/>
      <c r="K106" s="36"/>
      <c r="L106" s="36"/>
      <c r="M106" s="36"/>
    </row>
    <row r="107" spans="2:13">
      <c r="B107" s="36"/>
      <c r="C107" s="36"/>
      <c r="D107" s="36"/>
      <c r="E107" s="36"/>
      <c r="F107" s="36"/>
      <c r="G107" s="36"/>
      <c r="H107" s="36"/>
      <c r="I107" s="36"/>
      <c r="J107" s="36"/>
      <c r="K107" s="36"/>
      <c r="L107" s="36"/>
      <c r="M107" s="36"/>
    </row>
    <row r="108" spans="2:13">
      <c r="B108" s="36"/>
      <c r="C108" s="36"/>
      <c r="D108" s="36"/>
      <c r="E108" s="36"/>
      <c r="F108" s="36"/>
      <c r="G108" s="36"/>
      <c r="H108" s="36"/>
      <c r="I108" s="36"/>
      <c r="J108" s="36"/>
      <c r="K108" s="36"/>
      <c r="L108" s="36"/>
      <c r="M108" s="36"/>
    </row>
    <row r="109" spans="2:13">
      <c r="B109" s="36"/>
      <c r="C109" s="36"/>
      <c r="D109" s="36"/>
      <c r="E109" s="36"/>
      <c r="F109" s="36"/>
      <c r="G109" s="36"/>
      <c r="H109" s="36"/>
      <c r="I109" s="36"/>
      <c r="J109" s="36"/>
      <c r="K109" s="36"/>
      <c r="L109" s="36"/>
      <c r="M109" s="36"/>
    </row>
    <row r="110" spans="2:13">
      <c r="B110" s="36"/>
      <c r="C110" s="36"/>
      <c r="D110" s="36"/>
      <c r="E110" s="36"/>
      <c r="F110" s="36"/>
      <c r="G110" s="36"/>
      <c r="H110" s="36"/>
      <c r="I110" s="36"/>
      <c r="J110" s="36"/>
      <c r="K110" s="36"/>
      <c r="L110" s="36"/>
      <c r="M110" s="36"/>
    </row>
    <row r="111" spans="2:13">
      <c r="B111" s="36"/>
      <c r="C111" s="36"/>
      <c r="D111" s="36"/>
      <c r="E111" s="36"/>
      <c r="F111" s="36"/>
      <c r="G111" s="36"/>
      <c r="H111" s="36"/>
      <c r="I111" s="36"/>
      <c r="J111" s="36"/>
      <c r="K111" s="36"/>
      <c r="L111" s="36"/>
      <c r="M111" s="36"/>
    </row>
    <row r="112" spans="2:13">
      <c r="B112" s="36"/>
      <c r="C112" s="36"/>
      <c r="D112" s="36"/>
      <c r="E112" s="36"/>
      <c r="F112" s="36"/>
      <c r="G112" s="36"/>
      <c r="H112" s="36"/>
      <c r="I112" s="36"/>
      <c r="J112" s="36"/>
      <c r="K112" s="36"/>
      <c r="L112" s="36"/>
      <c r="M112" s="36"/>
    </row>
    <row r="113" spans="2:13">
      <c r="B113" s="36"/>
      <c r="C113" s="36"/>
      <c r="D113" s="36"/>
      <c r="E113" s="36"/>
      <c r="F113" s="36"/>
      <c r="G113" s="36"/>
      <c r="H113" s="36"/>
      <c r="I113" s="36"/>
      <c r="J113" s="36"/>
      <c r="K113" s="36"/>
      <c r="L113" s="36"/>
      <c r="M113" s="36"/>
    </row>
    <row r="114" spans="2:13">
      <c r="B114" s="36"/>
      <c r="C114" s="36"/>
      <c r="D114" s="36"/>
      <c r="E114" s="36"/>
      <c r="F114" s="36"/>
      <c r="G114" s="36"/>
      <c r="H114" s="36"/>
      <c r="I114" s="36"/>
      <c r="J114" s="36"/>
      <c r="K114" s="36"/>
      <c r="L114" s="36"/>
      <c r="M114" s="36"/>
    </row>
    <row r="115" spans="2:13">
      <c r="B115" s="36"/>
      <c r="C115" s="36"/>
      <c r="D115" s="36"/>
      <c r="E115" s="36"/>
      <c r="F115" s="36"/>
      <c r="G115" s="36"/>
      <c r="H115" s="36"/>
      <c r="I115" s="36"/>
      <c r="J115" s="36"/>
      <c r="K115" s="36"/>
      <c r="L115" s="36"/>
      <c r="M115" s="36"/>
    </row>
    <row r="116" spans="2:13">
      <c r="B116" s="36"/>
      <c r="C116" s="36"/>
      <c r="D116" s="36"/>
      <c r="E116" s="36"/>
      <c r="F116" s="36"/>
      <c r="G116" s="36"/>
      <c r="H116" s="36"/>
      <c r="I116" s="36"/>
      <c r="J116" s="36"/>
      <c r="K116" s="36"/>
      <c r="L116" s="36"/>
      <c r="M116" s="36"/>
    </row>
    <row r="117" spans="2:13">
      <c r="B117" s="36"/>
      <c r="C117" s="36"/>
      <c r="D117" s="36"/>
      <c r="E117" s="36"/>
      <c r="F117" s="36"/>
      <c r="G117" s="36"/>
      <c r="H117" s="36"/>
      <c r="I117" s="36"/>
      <c r="J117" s="36"/>
      <c r="K117" s="36"/>
      <c r="L117" s="36"/>
      <c r="M117" s="36"/>
    </row>
    <row r="118" spans="2:13">
      <c r="B118" s="36"/>
      <c r="C118" s="36"/>
      <c r="D118" s="36"/>
      <c r="E118" s="36"/>
      <c r="F118" s="36"/>
      <c r="G118" s="36"/>
      <c r="H118" s="36"/>
      <c r="I118" s="36"/>
      <c r="J118" s="36"/>
      <c r="K118" s="36"/>
      <c r="L118" s="36"/>
      <c r="M118" s="36"/>
    </row>
    <row r="119" spans="2:13">
      <c r="B119" s="36"/>
      <c r="C119" s="36"/>
      <c r="D119" s="36"/>
      <c r="E119" s="36"/>
      <c r="F119" s="36"/>
      <c r="G119" s="36"/>
      <c r="H119" s="36"/>
      <c r="I119" s="36"/>
      <c r="J119" s="36"/>
      <c r="K119" s="36"/>
      <c r="L119" s="36"/>
      <c r="M119" s="36"/>
    </row>
    <row r="120" spans="2:13">
      <c r="B120" s="36"/>
      <c r="C120" s="36"/>
      <c r="D120" s="36"/>
      <c r="E120" s="36"/>
      <c r="F120" s="36"/>
      <c r="G120" s="36"/>
      <c r="H120" s="36"/>
      <c r="I120" s="36"/>
      <c r="J120" s="36"/>
      <c r="K120" s="36"/>
      <c r="L120" s="36"/>
      <c r="M120" s="36"/>
    </row>
    <row r="121" spans="2:13">
      <c r="B121" s="36"/>
      <c r="C121" s="36"/>
      <c r="D121" s="36"/>
      <c r="E121" s="36"/>
      <c r="F121" s="36"/>
      <c r="G121" s="36"/>
      <c r="H121" s="36"/>
      <c r="I121" s="36"/>
      <c r="J121" s="36"/>
      <c r="K121" s="36"/>
      <c r="L121" s="36"/>
      <c r="M121" s="36"/>
    </row>
    <row r="122" spans="2:13">
      <c r="B122" s="36"/>
      <c r="C122" s="36"/>
      <c r="D122" s="36"/>
      <c r="E122" s="36"/>
      <c r="F122" s="36"/>
      <c r="G122" s="36"/>
      <c r="H122" s="36"/>
      <c r="I122" s="36"/>
      <c r="J122" s="36"/>
      <c r="K122" s="36"/>
      <c r="L122" s="36"/>
      <c r="M122" s="36"/>
    </row>
    <row r="123" spans="2:13">
      <c r="B123" s="36"/>
      <c r="C123" s="36"/>
      <c r="D123" s="36"/>
      <c r="E123" s="36"/>
      <c r="F123" s="36"/>
      <c r="G123" s="36"/>
      <c r="H123" s="36"/>
      <c r="I123" s="36"/>
      <c r="J123" s="36"/>
      <c r="K123" s="36"/>
      <c r="L123" s="36"/>
      <c r="M123" s="36"/>
    </row>
    <row r="124" spans="2:13">
      <c r="B124" s="36"/>
      <c r="C124" s="36"/>
      <c r="D124" s="36"/>
      <c r="E124" s="36"/>
      <c r="F124" s="36"/>
      <c r="G124" s="36"/>
      <c r="H124" s="36"/>
      <c r="I124" s="36"/>
      <c r="J124" s="36"/>
      <c r="K124" s="36"/>
      <c r="L124" s="36"/>
      <c r="M124" s="36"/>
    </row>
    <row r="125" spans="2:13">
      <c r="B125" s="36"/>
      <c r="C125" s="36"/>
      <c r="D125" s="36"/>
      <c r="E125" s="36"/>
      <c r="F125" s="36"/>
      <c r="G125" s="36"/>
      <c r="H125" s="36"/>
      <c r="I125" s="36"/>
      <c r="J125" s="36"/>
      <c r="K125" s="36"/>
      <c r="L125" s="36"/>
      <c r="M125" s="36"/>
    </row>
    <row r="126" spans="2:13">
      <c r="B126" s="36"/>
      <c r="C126" s="36"/>
      <c r="D126" s="36"/>
      <c r="E126" s="36"/>
      <c r="F126" s="36"/>
      <c r="G126" s="36"/>
      <c r="H126" s="36"/>
      <c r="I126" s="36"/>
      <c r="J126" s="36"/>
      <c r="K126" s="36"/>
      <c r="L126" s="36"/>
      <c r="M126" s="36"/>
    </row>
    <row r="127" spans="2:13">
      <c r="B127" s="36"/>
      <c r="C127" s="36"/>
      <c r="D127" s="36"/>
      <c r="E127" s="36"/>
      <c r="F127" s="36"/>
      <c r="G127" s="36"/>
      <c r="H127" s="36"/>
      <c r="I127" s="36"/>
      <c r="J127" s="36"/>
      <c r="K127" s="36"/>
      <c r="L127" s="36"/>
      <c r="M127" s="36"/>
    </row>
    <row r="128" spans="2:13">
      <c r="B128" s="36"/>
      <c r="C128" s="36"/>
      <c r="D128" s="36"/>
      <c r="E128" s="36"/>
      <c r="F128" s="36"/>
      <c r="G128" s="36"/>
      <c r="H128" s="36"/>
      <c r="I128" s="36"/>
      <c r="J128" s="36"/>
      <c r="K128" s="36"/>
      <c r="L128" s="36"/>
      <c r="M128" s="36"/>
    </row>
    <row r="129" spans="2:13">
      <c r="B129" s="36"/>
      <c r="C129" s="36"/>
      <c r="D129" s="36"/>
      <c r="E129" s="36"/>
      <c r="F129" s="36"/>
      <c r="G129" s="36"/>
      <c r="H129" s="36"/>
      <c r="I129" s="36"/>
      <c r="J129" s="36"/>
      <c r="K129" s="36"/>
      <c r="L129" s="36"/>
      <c r="M129" s="36"/>
    </row>
    <row r="130" spans="2:13">
      <c r="B130" s="36"/>
      <c r="C130" s="36"/>
      <c r="D130" s="36"/>
      <c r="E130" s="36"/>
      <c r="F130" s="36"/>
      <c r="G130" s="36"/>
      <c r="H130" s="36"/>
      <c r="I130" s="36"/>
      <c r="J130" s="36"/>
      <c r="K130" s="36"/>
      <c r="L130" s="36"/>
      <c r="M130" s="36"/>
    </row>
    <row r="131" spans="2:13">
      <c r="B131" s="36"/>
      <c r="C131" s="36"/>
      <c r="D131" s="36"/>
      <c r="E131" s="36"/>
      <c r="F131" s="36"/>
      <c r="G131" s="36"/>
      <c r="H131" s="36"/>
      <c r="I131" s="36"/>
      <c r="J131" s="36"/>
      <c r="K131" s="36"/>
      <c r="L131" s="36"/>
      <c r="M131" s="36"/>
    </row>
    <row r="132" spans="2:13">
      <c r="B132" s="36"/>
      <c r="C132" s="36"/>
      <c r="D132" s="36"/>
      <c r="E132" s="36"/>
      <c r="F132" s="36"/>
      <c r="G132" s="36"/>
      <c r="H132" s="36"/>
      <c r="I132" s="36"/>
      <c r="J132" s="36"/>
      <c r="K132" s="36"/>
      <c r="L132" s="36"/>
      <c r="M132" s="36"/>
    </row>
    <row r="133" spans="2:13">
      <c r="B133" s="36"/>
      <c r="C133" s="36"/>
      <c r="D133" s="36"/>
      <c r="E133" s="36"/>
      <c r="F133" s="36"/>
      <c r="G133" s="36"/>
      <c r="H133" s="36"/>
      <c r="I133" s="36"/>
      <c r="J133" s="36"/>
      <c r="K133" s="36"/>
      <c r="L133" s="36"/>
      <c r="M133" s="36"/>
    </row>
    <row r="134" spans="2:13">
      <c r="B134" s="36"/>
      <c r="C134" s="36"/>
      <c r="D134" s="36"/>
      <c r="E134" s="36"/>
      <c r="F134" s="36"/>
      <c r="G134" s="36"/>
      <c r="H134" s="36"/>
      <c r="I134" s="36"/>
      <c r="J134" s="36"/>
      <c r="K134" s="36"/>
      <c r="L134" s="36"/>
      <c r="M134" s="36"/>
    </row>
    <row r="135" spans="2:13">
      <c r="B135" s="36"/>
      <c r="C135" s="36"/>
      <c r="D135" s="36"/>
      <c r="E135" s="36"/>
      <c r="F135" s="36"/>
      <c r="G135" s="36"/>
      <c r="H135" s="36"/>
      <c r="I135" s="36"/>
      <c r="J135" s="36"/>
      <c r="K135" s="36"/>
      <c r="L135" s="36"/>
      <c r="M135" s="36"/>
    </row>
    <row r="136" spans="2:13">
      <c r="B136" s="36"/>
      <c r="C136" s="36"/>
      <c r="D136" s="36"/>
      <c r="E136" s="36"/>
      <c r="F136" s="36"/>
      <c r="G136" s="36"/>
      <c r="H136" s="36"/>
      <c r="I136" s="36"/>
      <c r="J136" s="36"/>
      <c r="K136" s="36"/>
      <c r="L136" s="36"/>
      <c r="M136" s="36"/>
    </row>
    <row r="137" spans="2:13">
      <c r="B137" s="36"/>
      <c r="C137" s="36"/>
      <c r="D137" s="36"/>
      <c r="E137" s="36"/>
      <c r="F137" s="36"/>
      <c r="G137" s="36"/>
      <c r="H137" s="36"/>
      <c r="I137" s="36"/>
      <c r="J137" s="36"/>
      <c r="K137" s="36"/>
      <c r="L137" s="36"/>
      <c r="M137" s="36"/>
    </row>
    <row r="138" spans="2:13">
      <c r="B138" s="36"/>
      <c r="C138" s="36"/>
      <c r="D138" s="36"/>
      <c r="E138" s="36"/>
      <c r="F138" s="36"/>
      <c r="G138" s="36"/>
      <c r="H138" s="36"/>
      <c r="I138" s="36"/>
      <c r="J138" s="36"/>
      <c r="K138" s="36"/>
      <c r="L138" s="36"/>
      <c r="M138" s="36"/>
    </row>
    <row r="139" spans="2:13">
      <c r="B139" s="36"/>
      <c r="C139" s="36"/>
      <c r="D139" s="36"/>
      <c r="E139" s="36"/>
      <c r="F139" s="36"/>
      <c r="G139" s="36"/>
      <c r="H139" s="36"/>
      <c r="I139" s="36"/>
      <c r="J139" s="36"/>
      <c r="K139" s="36"/>
      <c r="L139" s="36"/>
      <c r="M139" s="36"/>
    </row>
    <row r="140" spans="2:13">
      <c r="B140" s="36"/>
      <c r="C140" s="36"/>
      <c r="D140" s="36"/>
      <c r="E140" s="36"/>
      <c r="F140" s="36"/>
      <c r="G140" s="36"/>
      <c r="H140" s="36"/>
      <c r="I140" s="36"/>
      <c r="J140" s="36"/>
      <c r="K140" s="36"/>
      <c r="L140" s="36"/>
      <c r="M140" s="36"/>
    </row>
    <row r="141" spans="2:13">
      <c r="B141" s="36"/>
      <c r="C141" s="36"/>
      <c r="D141" s="36"/>
      <c r="E141" s="36"/>
      <c r="F141" s="36"/>
      <c r="G141" s="36"/>
      <c r="H141" s="36"/>
      <c r="I141" s="36"/>
      <c r="J141" s="36"/>
      <c r="K141" s="36"/>
      <c r="L141" s="36"/>
      <c r="M141" s="36"/>
    </row>
    <row r="142" spans="2:13">
      <c r="B142" s="36"/>
      <c r="C142" s="36"/>
      <c r="D142" s="36"/>
      <c r="E142" s="36"/>
      <c r="F142" s="36"/>
      <c r="G142" s="36"/>
      <c r="H142" s="36"/>
      <c r="I142" s="36"/>
      <c r="J142" s="36"/>
      <c r="K142" s="36"/>
      <c r="L142" s="36"/>
      <c r="M142" s="36"/>
    </row>
    <row r="143" spans="2:13">
      <c r="B143" s="36"/>
      <c r="C143" s="36"/>
      <c r="D143" s="36"/>
      <c r="E143" s="36"/>
      <c r="F143" s="36"/>
      <c r="G143" s="36"/>
      <c r="H143" s="36"/>
      <c r="I143" s="36"/>
      <c r="J143" s="36"/>
      <c r="K143" s="36"/>
      <c r="L143" s="36"/>
      <c r="M143" s="36"/>
    </row>
    <row r="144" spans="2:13">
      <c r="B144" s="36"/>
      <c r="C144" s="36"/>
      <c r="D144" s="36"/>
      <c r="E144" s="36"/>
      <c r="F144" s="36"/>
      <c r="G144" s="36"/>
      <c r="H144" s="36"/>
      <c r="I144" s="36"/>
      <c r="J144" s="36"/>
      <c r="K144" s="36"/>
      <c r="L144" s="36"/>
      <c r="M144" s="36"/>
    </row>
    <row r="145" spans="2:13">
      <c r="B145" s="36"/>
      <c r="C145" s="36"/>
      <c r="D145" s="36"/>
      <c r="E145" s="36"/>
      <c r="F145" s="36"/>
      <c r="G145" s="36"/>
      <c r="H145" s="36"/>
      <c r="I145" s="36"/>
      <c r="J145" s="36"/>
      <c r="K145" s="36"/>
      <c r="L145" s="36"/>
      <c r="M145" s="36"/>
    </row>
    <row r="146" spans="2:13">
      <c r="B146" s="36"/>
      <c r="C146" s="36"/>
      <c r="D146" s="36"/>
      <c r="E146" s="36"/>
      <c r="F146" s="36"/>
      <c r="G146" s="36"/>
      <c r="H146" s="36"/>
      <c r="I146" s="36"/>
      <c r="J146" s="36"/>
      <c r="K146" s="36"/>
      <c r="L146" s="36"/>
      <c r="M146" s="36"/>
    </row>
    <row r="147" spans="2:13">
      <c r="B147" s="36"/>
      <c r="C147" s="36"/>
      <c r="D147" s="36"/>
      <c r="E147" s="36"/>
      <c r="F147" s="36"/>
      <c r="G147" s="36"/>
      <c r="H147" s="36"/>
      <c r="I147" s="36"/>
      <c r="J147" s="36"/>
      <c r="K147" s="36"/>
      <c r="L147" s="36"/>
      <c r="M147" s="36"/>
    </row>
    <row r="148" spans="2:13">
      <c r="B148" s="36"/>
      <c r="C148" s="36"/>
      <c r="D148" s="36"/>
      <c r="E148" s="36"/>
      <c r="F148" s="36"/>
      <c r="G148" s="36"/>
      <c r="H148" s="36"/>
      <c r="I148" s="36"/>
      <c r="J148" s="36"/>
      <c r="K148" s="36"/>
      <c r="L148" s="36"/>
      <c r="M148" s="36"/>
    </row>
    <row r="149" spans="2:13">
      <c r="B149" s="36"/>
      <c r="C149" s="36"/>
      <c r="D149" s="36"/>
      <c r="E149" s="36"/>
      <c r="F149" s="36"/>
      <c r="G149" s="36"/>
      <c r="H149" s="36"/>
      <c r="I149" s="36"/>
      <c r="J149" s="36"/>
      <c r="K149" s="36"/>
      <c r="L149" s="36"/>
      <c r="M149" s="36"/>
    </row>
    <row r="150" spans="2:13">
      <c r="B150" s="36"/>
      <c r="C150" s="36"/>
      <c r="D150" s="36"/>
      <c r="E150" s="36"/>
      <c r="F150" s="36"/>
      <c r="G150" s="36"/>
      <c r="H150" s="36"/>
      <c r="I150" s="36"/>
      <c r="J150" s="36"/>
      <c r="K150" s="36"/>
      <c r="L150" s="36"/>
      <c r="M150" s="36"/>
    </row>
    <row r="151" spans="2:13">
      <c r="B151" s="36"/>
      <c r="C151" s="36"/>
      <c r="D151" s="36"/>
      <c r="E151" s="36"/>
      <c r="F151" s="36"/>
      <c r="G151" s="36"/>
      <c r="H151" s="36"/>
      <c r="I151" s="36"/>
      <c r="J151" s="36"/>
      <c r="K151" s="36"/>
      <c r="L151" s="36"/>
      <c r="M151" s="36"/>
    </row>
    <row r="152" spans="2:13">
      <c r="B152" s="36"/>
      <c r="C152" s="36"/>
      <c r="D152" s="36"/>
      <c r="E152" s="36"/>
      <c r="F152" s="36"/>
      <c r="G152" s="36"/>
      <c r="H152" s="36"/>
      <c r="I152" s="36"/>
      <c r="J152" s="36"/>
      <c r="K152" s="36"/>
      <c r="L152" s="36"/>
      <c r="M152" s="36"/>
    </row>
    <row r="153" spans="2:13">
      <c r="B153" s="36"/>
      <c r="C153" s="36"/>
      <c r="D153" s="36"/>
      <c r="E153" s="36"/>
      <c r="F153" s="36"/>
      <c r="G153" s="36"/>
      <c r="H153" s="36"/>
      <c r="I153" s="36"/>
      <c r="J153" s="36"/>
      <c r="K153" s="36"/>
      <c r="L153" s="36"/>
      <c r="M153" s="36"/>
    </row>
    <row r="154" spans="2:13">
      <c r="B154" s="36"/>
      <c r="C154" s="36"/>
      <c r="D154" s="36"/>
      <c r="E154" s="36"/>
      <c r="F154" s="36"/>
      <c r="G154" s="36"/>
      <c r="H154" s="36"/>
      <c r="I154" s="36"/>
      <c r="J154" s="36"/>
      <c r="K154" s="36"/>
      <c r="L154" s="36"/>
      <c r="M154" s="36"/>
    </row>
    <row r="155" spans="2:13">
      <c r="B155" s="36"/>
      <c r="C155" s="36"/>
      <c r="D155" s="36"/>
      <c r="E155" s="36"/>
      <c r="F155" s="36"/>
      <c r="G155" s="36"/>
      <c r="H155" s="36"/>
      <c r="I155" s="36"/>
      <c r="J155" s="36"/>
      <c r="K155" s="36"/>
      <c r="L155" s="36"/>
      <c r="M155" s="36"/>
    </row>
    <row r="156" spans="2:13">
      <c r="B156" s="36"/>
      <c r="C156" s="36"/>
      <c r="D156" s="36"/>
      <c r="E156" s="36"/>
      <c r="F156" s="36"/>
      <c r="G156" s="36"/>
      <c r="H156" s="36"/>
      <c r="I156" s="36"/>
      <c r="J156" s="36"/>
      <c r="K156" s="36"/>
      <c r="L156" s="36"/>
      <c r="M156" s="36"/>
    </row>
    <row r="157" spans="2:13">
      <c r="B157" s="36"/>
      <c r="C157" s="36"/>
      <c r="D157" s="36"/>
      <c r="E157" s="36"/>
      <c r="F157" s="36"/>
      <c r="G157" s="36"/>
      <c r="H157" s="36"/>
      <c r="I157" s="36"/>
      <c r="J157" s="36"/>
      <c r="K157" s="36"/>
      <c r="L157" s="36"/>
      <c r="M157" s="36"/>
    </row>
    <row r="158" spans="2:13">
      <c r="B158" s="36"/>
      <c r="C158" s="36"/>
      <c r="D158" s="36"/>
      <c r="E158" s="36"/>
      <c r="F158" s="36"/>
      <c r="G158" s="36"/>
      <c r="H158" s="36"/>
      <c r="I158" s="36"/>
      <c r="J158" s="36"/>
      <c r="K158" s="36"/>
      <c r="L158" s="36"/>
      <c r="M158" s="36"/>
    </row>
    <row r="159" spans="2:13">
      <c r="B159" s="36"/>
      <c r="C159" s="36"/>
      <c r="D159" s="36"/>
      <c r="E159" s="36"/>
      <c r="F159" s="36"/>
      <c r="G159" s="36"/>
      <c r="H159" s="36"/>
      <c r="I159" s="36"/>
      <c r="J159" s="36"/>
      <c r="K159" s="36"/>
      <c r="L159" s="36"/>
      <c r="M159" s="36"/>
    </row>
    <row r="160" spans="2:13">
      <c r="B160" s="36"/>
      <c r="C160" s="36"/>
      <c r="D160" s="36"/>
      <c r="E160" s="36"/>
      <c r="F160" s="36"/>
      <c r="G160" s="36"/>
      <c r="H160" s="36"/>
      <c r="I160" s="36"/>
      <c r="J160" s="36"/>
      <c r="K160" s="36"/>
      <c r="L160" s="36"/>
      <c r="M160" s="36"/>
    </row>
    <row r="161" spans="2:13">
      <c r="B161" s="36"/>
      <c r="C161" s="36"/>
      <c r="D161" s="36"/>
      <c r="E161" s="36"/>
      <c r="F161" s="36"/>
      <c r="G161" s="36"/>
      <c r="H161" s="36"/>
      <c r="I161" s="36"/>
      <c r="J161" s="36"/>
      <c r="K161" s="36"/>
      <c r="L161" s="36"/>
      <c r="M161" s="36"/>
    </row>
    <row r="162" spans="2:13">
      <c r="B162" s="36"/>
      <c r="C162" s="36"/>
      <c r="D162" s="36"/>
      <c r="E162" s="36"/>
      <c r="F162" s="36"/>
      <c r="G162" s="36"/>
      <c r="H162" s="36"/>
      <c r="I162" s="36"/>
      <c r="J162" s="36"/>
      <c r="K162" s="36"/>
      <c r="L162" s="36"/>
      <c r="M162" s="36"/>
    </row>
    <row r="163" spans="2:13">
      <c r="B163" s="36"/>
      <c r="C163" s="36"/>
      <c r="D163" s="36"/>
      <c r="E163" s="36"/>
      <c r="F163" s="36"/>
      <c r="G163" s="36"/>
      <c r="H163" s="36"/>
      <c r="I163" s="36"/>
      <c r="J163" s="36"/>
      <c r="K163" s="36"/>
      <c r="L163" s="36"/>
      <c r="M163" s="36"/>
    </row>
    <row r="164" spans="2:13">
      <c r="B164" s="36"/>
      <c r="C164" s="36"/>
      <c r="D164" s="36"/>
      <c r="E164" s="36"/>
      <c r="F164" s="36"/>
      <c r="G164" s="36"/>
      <c r="H164" s="36"/>
      <c r="I164" s="36"/>
      <c r="J164" s="36"/>
      <c r="K164" s="36"/>
      <c r="L164" s="36"/>
      <c r="M164" s="36"/>
    </row>
    <row r="165" spans="2:13">
      <c r="B165" s="36"/>
      <c r="C165" s="36"/>
      <c r="D165" s="36"/>
      <c r="E165" s="36"/>
      <c r="F165" s="36"/>
      <c r="G165" s="36"/>
      <c r="H165" s="36"/>
      <c r="I165" s="36"/>
      <c r="J165" s="36"/>
      <c r="K165" s="36"/>
      <c r="L165" s="36"/>
      <c r="M165" s="36"/>
    </row>
    <row r="166" spans="2:13">
      <c r="B166" s="36"/>
      <c r="C166" s="36"/>
      <c r="D166" s="36"/>
      <c r="E166" s="36"/>
      <c r="F166" s="36"/>
      <c r="G166" s="36"/>
      <c r="H166" s="36"/>
      <c r="I166" s="36"/>
      <c r="J166" s="36"/>
      <c r="K166" s="36"/>
      <c r="L166" s="36"/>
      <c r="M166" s="36"/>
    </row>
    <row r="167" spans="2:13">
      <c r="B167" s="36"/>
      <c r="C167" s="36"/>
      <c r="D167" s="36"/>
      <c r="E167" s="36"/>
      <c r="F167" s="36"/>
      <c r="G167" s="36"/>
      <c r="H167" s="36"/>
      <c r="I167" s="36"/>
      <c r="J167" s="36"/>
      <c r="K167" s="36"/>
      <c r="L167" s="36"/>
      <c r="M167" s="36"/>
    </row>
    <row r="168" spans="2:13">
      <c r="B168" s="36"/>
      <c r="C168" s="36"/>
      <c r="D168" s="36"/>
      <c r="E168" s="36"/>
      <c r="F168" s="36"/>
      <c r="G168" s="36"/>
      <c r="H168" s="36"/>
      <c r="I168" s="36"/>
      <c r="J168" s="36"/>
      <c r="K168" s="36"/>
      <c r="L168" s="36"/>
      <c r="M168" s="36"/>
    </row>
    <row r="169" spans="2:13">
      <c r="B169" s="36"/>
      <c r="C169" s="36"/>
      <c r="D169" s="36"/>
      <c r="E169" s="36"/>
      <c r="F169" s="36"/>
      <c r="G169" s="36"/>
      <c r="H169" s="36"/>
      <c r="I169" s="36"/>
      <c r="J169" s="36"/>
      <c r="K169" s="36"/>
      <c r="L169" s="36"/>
      <c r="M169" s="36"/>
    </row>
    <row r="170" spans="2:13">
      <c r="B170" s="36"/>
      <c r="C170" s="36"/>
      <c r="D170" s="36"/>
      <c r="E170" s="36"/>
      <c r="F170" s="36"/>
      <c r="G170" s="36"/>
      <c r="H170" s="36"/>
      <c r="I170" s="36"/>
      <c r="J170" s="36"/>
      <c r="K170" s="36"/>
      <c r="L170" s="36"/>
      <c r="M170" s="36"/>
    </row>
    <row r="171" spans="2:13">
      <c r="B171" s="36"/>
      <c r="C171" s="36"/>
      <c r="D171" s="36"/>
      <c r="E171" s="36"/>
      <c r="F171" s="36"/>
      <c r="G171" s="36"/>
      <c r="H171" s="36"/>
      <c r="I171" s="36"/>
      <c r="J171" s="36"/>
      <c r="K171" s="36"/>
      <c r="L171" s="36"/>
      <c r="M171" s="36"/>
    </row>
    <row r="172" spans="2:13">
      <c r="B172" s="36"/>
      <c r="C172" s="36"/>
      <c r="D172" s="36"/>
      <c r="E172" s="36"/>
      <c r="F172" s="36"/>
      <c r="G172" s="36"/>
      <c r="H172" s="36"/>
      <c r="I172" s="36"/>
      <c r="J172" s="36"/>
      <c r="K172" s="36"/>
      <c r="L172" s="36"/>
      <c r="M172" s="36"/>
    </row>
    <row r="173" spans="2:13">
      <c r="B173" s="36"/>
      <c r="C173" s="36"/>
      <c r="D173" s="36"/>
      <c r="E173" s="36"/>
      <c r="F173" s="36"/>
      <c r="G173" s="36"/>
      <c r="H173" s="36"/>
      <c r="I173" s="36"/>
      <c r="J173" s="36"/>
      <c r="K173" s="36"/>
      <c r="L173" s="36"/>
      <c r="M173" s="36"/>
    </row>
    <row r="174" spans="2:13">
      <c r="B174" s="36"/>
      <c r="C174" s="36"/>
      <c r="D174" s="36"/>
      <c r="E174" s="36"/>
      <c r="F174" s="36"/>
      <c r="G174" s="36"/>
      <c r="H174" s="36"/>
      <c r="I174" s="36"/>
      <c r="J174" s="36"/>
      <c r="K174" s="36"/>
      <c r="L174" s="36"/>
      <c r="M174" s="36"/>
    </row>
    <row r="175" spans="2:13">
      <c r="B175" s="36"/>
      <c r="C175" s="36"/>
      <c r="D175" s="36"/>
      <c r="E175" s="36"/>
      <c r="F175" s="36"/>
      <c r="G175" s="36"/>
      <c r="H175" s="36"/>
      <c r="I175" s="36"/>
      <c r="J175" s="36"/>
      <c r="K175" s="36"/>
      <c r="L175" s="36"/>
      <c r="M175" s="36"/>
    </row>
    <row r="176" spans="2:13">
      <c r="B176" s="36"/>
      <c r="C176" s="36"/>
      <c r="D176" s="36"/>
      <c r="E176" s="36"/>
      <c r="F176" s="36"/>
      <c r="G176" s="36"/>
      <c r="H176" s="36"/>
      <c r="I176" s="36"/>
      <c r="J176" s="36"/>
      <c r="K176" s="36"/>
      <c r="L176" s="36"/>
      <c r="M176" s="36"/>
    </row>
    <row r="177" spans="2:13">
      <c r="B177" s="36"/>
      <c r="C177" s="36"/>
      <c r="D177" s="36"/>
      <c r="E177" s="36"/>
      <c r="F177" s="36"/>
      <c r="G177" s="36"/>
      <c r="H177" s="36"/>
      <c r="I177" s="36"/>
      <c r="J177" s="36"/>
      <c r="K177" s="36"/>
      <c r="L177" s="36"/>
      <c r="M177" s="36"/>
    </row>
    <row r="178" spans="2:13">
      <c r="B178" s="36"/>
      <c r="C178" s="36"/>
      <c r="D178" s="36"/>
      <c r="E178" s="36"/>
      <c r="F178" s="36"/>
      <c r="G178" s="36"/>
      <c r="H178" s="36"/>
      <c r="I178" s="36"/>
      <c r="J178" s="36"/>
      <c r="K178" s="36"/>
      <c r="L178" s="36"/>
      <c r="M178" s="36"/>
    </row>
    <row r="179" spans="2:13">
      <c r="B179" s="36"/>
      <c r="C179" s="36"/>
      <c r="D179" s="36"/>
      <c r="E179" s="36"/>
      <c r="F179" s="36"/>
      <c r="G179" s="36"/>
      <c r="H179" s="36"/>
      <c r="I179" s="36"/>
      <c r="J179" s="36"/>
      <c r="K179" s="36"/>
      <c r="L179" s="36"/>
      <c r="M179" s="36"/>
    </row>
    <row r="180" spans="2:13">
      <c r="B180" s="36"/>
      <c r="C180" s="36"/>
      <c r="D180" s="36"/>
      <c r="E180" s="36"/>
      <c r="F180" s="36"/>
      <c r="G180" s="36"/>
      <c r="H180" s="36"/>
      <c r="I180" s="36"/>
      <c r="J180" s="36"/>
      <c r="K180" s="36"/>
      <c r="L180" s="36"/>
      <c r="M180" s="36"/>
    </row>
    <row r="181" spans="2:13">
      <c r="B181" s="36"/>
      <c r="C181" s="36"/>
      <c r="D181" s="36"/>
      <c r="E181" s="36"/>
      <c r="F181" s="36"/>
      <c r="G181" s="36"/>
      <c r="H181" s="36"/>
      <c r="I181" s="36"/>
      <c r="J181" s="36"/>
      <c r="K181" s="36"/>
      <c r="L181" s="36"/>
      <c r="M181" s="36"/>
    </row>
    <row r="182" spans="2:13">
      <c r="B182" s="36"/>
      <c r="C182" s="36"/>
      <c r="D182" s="36"/>
      <c r="E182" s="36"/>
      <c r="F182" s="36"/>
      <c r="G182" s="36"/>
      <c r="H182" s="36"/>
      <c r="I182" s="36"/>
      <c r="J182" s="36"/>
      <c r="K182" s="36"/>
      <c r="L182" s="36"/>
      <c r="M182" s="36"/>
    </row>
    <row r="183" spans="2:13">
      <c r="B183" s="36"/>
      <c r="C183" s="36"/>
      <c r="D183" s="36"/>
      <c r="E183" s="36"/>
      <c r="F183" s="36"/>
      <c r="G183" s="36"/>
      <c r="H183" s="36"/>
      <c r="I183" s="36"/>
      <c r="J183" s="36"/>
      <c r="K183" s="36"/>
      <c r="L183" s="36"/>
      <c r="M183" s="36"/>
    </row>
    <row r="184" spans="2:13">
      <c r="B184" s="36"/>
      <c r="C184" s="36"/>
      <c r="D184" s="36"/>
      <c r="E184" s="36"/>
      <c r="F184" s="36"/>
      <c r="G184" s="36"/>
      <c r="H184" s="36"/>
      <c r="I184" s="36"/>
      <c r="J184" s="36"/>
      <c r="K184" s="36"/>
      <c r="L184" s="36"/>
      <c r="M184" s="36"/>
    </row>
    <row r="185" spans="2:13">
      <c r="B185" s="36"/>
      <c r="C185" s="36"/>
      <c r="D185" s="36"/>
      <c r="E185" s="36"/>
      <c r="F185" s="36"/>
      <c r="G185" s="36"/>
      <c r="H185" s="36"/>
      <c r="I185" s="36"/>
      <c r="J185" s="36"/>
      <c r="K185" s="36"/>
      <c r="L185" s="36"/>
      <c r="M185" s="36"/>
    </row>
    <row r="186" spans="2:13">
      <c r="B186" s="36"/>
      <c r="C186" s="36"/>
      <c r="D186" s="36"/>
      <c r="E186" s="36"/>
      <c r="F186" s="36"/>
      <c r="G186" s="36"/>
      <c r="H186" s="36"/>
      <c r="I186" s="36"/>
      <c r="J186" s="36"/>
      <c r="K186" s="36"/>
      <c r="L186" s="36"/>
      <c r="M186" s="36"/>
    </row>
    <row r="187" spans="2:13">
      <c r="B187" s="36"/>
      <c r="C187" s="36"/>
      <c r="D187" s="36"/>
      <c r="E187" s="36"/>
      <c r="F187" s="36"/>
      <c r="G187" s="36"/>
      <c r="H187" s="36"/>
      <c r="I187" s="36"/>
      <c r="J187" s="36"/>
      <c r="K187" s="36"/>
      <c r="L187" s="36"/>
      <c r="M187" s="36"/>
    </row>
    <row r="188" spans="2:13">
      <c r="B188" s="36"/>
      <c r="C188" s="36"/>
      <c r="D188" s="36"/>
      <c r="E188" s="36"/>
      <c r="F188" s="36"/>
      <c r="G188" s="36"/>
      <c r="H188" s="36"/>
      <c r="I188" s="36"/>
      <c r="J188" s="36"/>
      <c r="K188" s="36"/>
      <c r="L188" s="36"/>
      <c r="M188" s="36"/>
    </row>
    <row r="189" spans="2:13">
      <c r="B189" s="36"/>
      <c r="C189" s="36"/>
      <c r="D189" s="36"/>
      <c r="E189" s="36"/>
      <c r="F189" s="36"/>
      <c r="G189" s="36"/>
      <c r="H189" s="36"/>
      <c r="I189" s="36"/>
      <c r="J189" s="36"/>
      <c r="K189" s="36"/>
      <c r="L189" s="36"/>
      <c r="M189" s="36"/>
    </row>
    <row r="190" spans="2:13">
      <c r="B190" s="36"/>
      <c r="C190" s="36"/>
      <c r="D190" s="36"/>
      <c r="E190" s="36"/>
      <c r="F190" s="36"/>
      <c r="G190" s="36"/>
      <c r="H190" s="36"/>
      <c r="I190" s="36"/>
      <c r="J190" s="36"/>
      <c r="K190" s="36"/>
      <c r="L190" s="36"/>
      <c r="M190" s="36"/>
    </row>
    <row r="191" spans="2:13">
      <c r="B191" s="36"/>
      <c r="C191" s="36"/>
      <c r="D191" s="36"/>
      <c r="E191" s="36"/>
      <c r="F191" s="36"/>
      <c r="G191" s="36"/>
      <c r="H191" s="36"/>
      <c r="I191" s="36"/>
      <c r="J191" s="36"/>
      <c r="K191" s="36"/>
      <c r="L191" s="36"/>
      <c r="M191" s="36"/>
    </row>
    <row r="192" spans="2:13">
      <c r="B192" s="36"/>
      <c r="C192" s="36"/>
      <c r="D192" s="36"/>
      <c r="E192" s="36"/>
      <c r="F192" s="36"/>
      <c r="G192" s="36"/>
      <c r="H192" s="36"/>
      <c r="I192" s="36"/>
      <c r="J192" s="36"/>
      <c r="K192" s="36"/>
      <c r="L192" s="36"/>
      <c r="M192" s="36"/>
    </row>
    <row r="193" spans="2:13">
      <c r="B193" s="36"/>
      <c r="C193" s="36"/>
      <c r="D193" s="36"/>
      <c r="E193" s="36"/>
      <c r="F193" s="36"/>
      <c r="G193" s="36"/>
      <c r="H193" s="36"/>
      <c r="I193" s="36"/>
      <c r="J193" s="36"/>
      <c r="K193" s="36"/>
      <c r="L193" s="36"/>
      <c r="M193" s="36"/>
    </row>
    <row r="194" spans="2:13">
      <c r="B194" s="36"/>
      <c r="C194" s="36"/>
      <c r="D194" s="36"/>
      <c r="E194" s="36"/>
      <c r="F194" s="36"/>
      <c r="G194" s="36"/>
      <c r="H194" s="36"/>
      <c r="I194" s="36"/>
      <c r="J194" s="36"/>
      <c r="K194" s="36"/>
      <c r="L194" s="36"/>
      <c r="M194" s="36"/>
    </row>
    <row r="195" spans="2:13">
      <c r="B195" s="36"/>
      <c r="C195" s="36"/>
      <c r="D195" s="36"/>
      <c r="E195" s="36"/>
      <c r="F195" s="36"/>
      <c r="G195" s="36"/>
      <c r="H195" s="36"/>
      <c r="I195" s="36"/>
      <c r="J195" s="36"/>
      <c r="K195" s="36"/>
      <c r="L195" s="36"/>
      <c r="M195" s="36"/>
    </row>
    <row r="196" spans="2:13">
      <c r="B196" s="36"/>
      <c r="C196" s="36"/>
      <c r="D196" s="36"/>
      <c r="E196" s="36"/>
      <c r="F196" s="36"/>
      <c r="G196" s="36"/>
      <c r="H196" s="36"/>
      <c r="I196" s="36"/>
      <c r="J196" s="36"/>
      <c r="K196" s="36"/>
      <c r="L196" s="36"/>
      <c r="M196" s="36"/>
    </row>
    <row r="197" spans="2:13">
      <c r="B197" s="36"/>
      <c r="C197" s="36"/>
      <c r="D197" s="36"/>
      <c r="E197" s="36"/>
      <c r="F197" s="36"/>
      <c r="G197" s="36"/>
      <c r="H197" s="36"/>
      <c r="I197" s="36"/>
      <c r="J197" s="36"/>
      <c r="K197" s="36"/>
      <c r="L197" s="36"/>
      <c r="M197" s="36"/>
    </row>
    <row r="198" spans="2:13">
      <c r="B198" s="36"/>
      <c r="C198" s="36"/>
      <c r="D198" s="36"/>
      <c r="E198" s="36"/>
      <c r="F198" s="36"/>
      <c r="G198" s="36"/>
      <c r="H198" s="36"/>
      <c r="I198" s="36"/>
      <c r="J198" s="36"/>
      <c r="K198" s="36"/>
      <c r="L198" s="36"/>
      <c r="M198" s="36"/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1"/>
  <sheetViews>
    <sheetView workbookViewId="0">
      <selection activeCell="B5" sqref="B5"/>
    </sheetView>
  </sheetViews>
  <sheetFormatPr defaultColWidth="9" defaultRowHeight="14.4" outlineLevelCol="6"/>
  <cols>
    <col min="6" max="6" width="9.88888888888889" customWidth="1"/>
    <col min="7" max="7" width="10.2222222222222" customWidth="1"/>
  </cols>
  <sheetData>
    <row r="1" ht="15.15" spans="1:7">
      <c r="A1" s="22" t="s">
        <v>18</v>
      </c>
      <c r="B1" s="23" t="s">
        <v>0</v>
      </c>
      <c r="C1" s="23" t="s">
        <v>1</v>
      </c>
      <c r="D1" s="23" t="s">
        <v>41</v>
      </c>
      <c r="E1" s="23" t="s">
        <v>42</v>
      </c>
      <c r="F1" s="23" t="s">
        <v>3</v>
      </c>
      <c r="G1" s="24" t="s">
        <v>3</v>
      </c>
    </row>
    <row r="2" spans="1:7">
      <c r="A2" s="25">
        <v>1</v>
      </c>
      <c r="B2" s="26">
        <v>2</v>
      </c>
      <c r="C2" s="26">
        <v>1.5</v>
      </c>
      <c r="D2" s="27">
        <f>COS(C2)+2</f>
        <v>2.0707372016677</v>
      </c>
      <c r="E2" s="27">
        <f>SIN(3*B2)+2</f>
        <v>1.72058450180107</v>
      </c>
      <c r="F2" s="27">
        <f>D2-B2</f>
        <v>0.0707372016677028</v>
      </c>
      <c r="G2" s="28">
        <f>E2-C2</f>
        <v>0.220584501801074</v>
      </c>
    </row>
    <row r="3" spans="1:7">
      <c r="A3" s="29">
        <v>2</v>
      </c>
      <c r="B3" s="30">
        <f>B2+F2</f>
        <v>2.0707372016677</v>
      </c>
      <c r="C3" s="30">
        <f>C2+G2</f>
        <v>1.72058450180107</v>
      </c>
      <c r="D3" s="30">
        <f>COS(C3)+2</f>
        <v>1.85077131730494</v>
      </c>
      <c r="E3" s="30">
        <f>SIN(3*B3)+2</f>
        <v>1.92908586839212</v>
      </c>
      <c r="F3" s="30">
        <f>D3-B3</f>
        <v>-0.219965884362761</v>
      </c>
      <c r="G3" s="31">
        <f>E3-C3</f>
        <v>0.208501366591044</v>
      </c>
    </row>
    <row r="4" spans="1:7">
      <c r="A4" s="29">
        <v>3</v>
      </c>
      <c r="B4" s="30">
        <f t="shared" ref="B4:B21" si="0">B3+F3</f>
        <v>1.85077131730494</v>
      </c>
      <c r="C4" s="30">
        <f t="shared" ref="C4:C21" si="1">C3+G3</f>
        <v>1.92908586839212</v>
      </c>
      <c r="D4" s="30">
        <f t="shared" ref="D4:D21" si="2">COS(C4)+2</f>
        <v>1.64932709384912</v>
      </c>
      <c r="E4" s="30">
        <f t="shared" ref="E4:E21" si="3">SIN(3*B4)+2</f>
        <v>1.33248130660352</v>
      </c>
      <c r="F4" s="30">
        <f t="shared" ref="F4:F21" si="4">D4-B4</f>
        <v>-0.201444223455822</v>
      </c>
      <c r="G4" s="31">
        <f t="shared" ref="G4:G21" si="5">E4-C4</f>
        <v>-0.596604561788596</v>
      </c>
    </row>
    <row r="5" spans="1:7">
      <c r="A5" s="29">
        <v>4</v>
      </c>
      <c r="B5" s="30">
        <f t="shared" si="0"/>
        <v>1.64932709384912</v>
      </c>
      <c r="C5" s="30">
        <f t="shared" si="1"/>
        <v>1.33248130660352</v>
      </c>
      <c r="D5" s="30">
        <f t="shared" si="2"/>
        <v>2.23606560488917</v>
      </c>
      <c r="E5" s="30">
        <f t="shared" si="3"/>
        <v>1.02762374241939</v>
      </c>
      <c r="F5" s="30">
        <f t="shared" si="4"/>
        <v>0.586738511040052</v>
      </c>
      <c r="G5" s="31">
        <f t="shared" si="5"/>
        <v>-0.304857564184131</v>
      </c>
    </row>
    <row r="6" spans="1:7">
      <c r="A6" s="29">
        <v>5</v>
      </c>
      <c r="B6" s="30">
        <f t="shared" si="0"/>
        <v>2.23606560488917</v>
      </c>
      <c r="C6" s="30">
        <f t="shared" si="1"/>
        <v>1.02762374241939</v>
      </c>
      <c r="D6" s="30">
        <f t="shared" si="2"/>
        <v>2.5168545527873</v>
      </c>
      <c r="E6" s="30">
        <f t="shared" si="3"/>
        <v>2.41233126548335</v>
      </c>
      <c r="F6" s="30">
        <f t="shared" si="4"/>
        <v>0.280788947898133</v>
      </c>
      <c r="G6" s="31">
        <f t="shared" si="5"/>
        <v>1.38470752306395</v>
      </c>
    </row>
    <row r="7" spans="1:7">
      <c r="A7" s="29">
        <v>6</v>
      </c>
      <c r="B7" s="30">
        <f t="shared" si="0"/>
        <v>2.5168545527873</v>
      </c>
      <c r="C7" s="30">
        <f t="shared" si="1"/>
        <v>2.41233126548335</v>
      </c>
      <c r="D7" s="30">
        <f t="shared" si="2"/>
        <v>1.25433324312007</v>
      </c>
      <c r="E7" s="30">
        <f t="shared" si="3"/>
        <v>2.95432082985174</v>
      </c>
      <c r="F7" s="30">
        <f t="shared" si="4"/>
        <v>-1.26252130966723</v>
      </c>
      <c r="G7" s="31">
        <f t="shared" si="5"/>
        <v>0.541989564368392</v>
      </c>
    </row>
    <row r="8" spans="1:7">
      <c r="A8" s="29">
        <v>7</v>
      </c>
      <c r="B8" s="30">
        <f t="shared" si="0"/>
        <v>1.25433324312007</v>
      </c>
      <c r="C8" s="30">
        <f t="shared" si="1"/>
        <v>2.95432082985174</v>
      </c>
      <c r="D8" s="30">
        <f t="shared" si="2"/>
        <v>1.01748417966759</v>
      </c>
      <c r="E8" s="30">
        <f t="shared" si="3"/>
        <v>1.41782022636883</v>
      </c>
      <c r="F8" s="30">
        <f t="shared" si="4"/>
        <v>-0.236849063452481</v>
      </c>
      <c r="G8" s="31">
        <f t="shared" si="5"/>
        <v>-1.5365006034829</v>
      </c>
    </row>
    <row r="9" spans="1:7">
      <c r="A9" s="29">
        <v>8</v>
      </c>
      <c r="B9" s="30">
        <f t="shared" si="0"/>
        <v>1.01748417966759</v>
      </c>
      <c r="C9" s="30">
        <f t="shared" si="1"/>
        <v>1.41782022636883</v>
      </c>
      <c r="D9" s="30">
        <f t="shared" si="2"/>
        <v>2.15238014835669</v>
      </c>
      <c r="E9" s="30">
        <f t="shared" si="3"/>
        <v>2.08902211084819</v>
      </c>
      <c r="F9" s="30">
        <f t="shared" si="4"/>
        <v>1.1348959686891</v>
      </c>
      <c r="G9" s="31">
        <f t="shared" si="5"/>
        <v>0.671201884479357</v>
      </c>
    </row>
    <row r="10" spans="1:7">
      <c r="A10" s="29">
        <v>9</v>
      </c>
      <c r="B10" s="30">
        <f t="shared" si="0"/>
        <v>2.15238014835669</v>
      </c>
      <c r="C10" s="30">
        <f t="shared" si="1"/>
        <v>2.08902211084819</v>
      </c>
      <c r="D10" s="30">
        <f t="shared" si="2"/>
        <v>1.50466034202585</v>
      </c>
      <c r="E10" s="30">
        <f t="shared" si="3"/>
        <v>2.17307913929194</v>
      </c>
      <c r="F10" s="30">
        <f t="shared" si="4"/>
        <v>-0.647719806330837</v>
      </c>
      <c r="G10" s="31">
        <f t="shared" si="5"/>
        <v>0.0840570284437523</v>
      </c>
    </row>
    <row r="11" spans="1:7">
      <c r="A11" s="29">
        <v>10</v>
      </c>
      <c r="B11" s="30">
        <f t="shared" si="0"/>
        <v>1.50466034202585</v>
      </c>
      <c r="C11" s="30">
        <f t="shared" si="1"/>
        <v>2.17307913929194</v>
      </c>
      <c r="D11" s="30">
        <f t="shared" si="2"/>
        <v>1.43347491302647</v>
      </c>
      <c r="E11" s="30">
        <f t="shared" si="3"/>
        <v>1.01961837368274</v>
      </c>
      <c r="F11" s="30">
        <f t="shared" si="4"/>
        <v>-0.0711854289993805</v>
      </c>
      <c r="G11" s="31">
        <f t="shared" si="5"/>
        <v>-1.15346076560921</v>
      </c>
    </row>
    <row r="12" spans="1:7">
      <c r="A12" s="29">
        <v>11</v>
      </c>
      <c r="B12" s="30">
        <f t="shared" si="0"/>
        <v>1.43347491302647</v>
      </c>
      <c r="C12" s="30">
        <f t="shared" si="1"/>
        <v>1.01961837368274</v>
      </c>
      <c r="D12" s="30">
        <f t="shared" si="2"/>
        <v>2.52369109997893</v>
      </c>
      <c r="E12" s="30">
        <f t="shared" si="3"/>
        <v>1.08366391082396</v>
      </c>
      <c r="F12" s="30">
        <f t="shared" si="4"/>
        <v>1.09021618695246</v>
      </c>
      <c r="G12" s="31">
        <f t="shared" si="5"/>
        <v>0.0640455371412214</v>
      </c>
    </row>
    <row r="13" spans="1:7">
      <c r="A13" s="29">
        <v>12</v>
      </c>
      <c r="B13" s="30">
        <f t="shared" si="0"/>
        <v>2.52369109997893</v>
      </c>
      <c r="C13" s="30">
        <f t="shared" si="1"/>
        <v>1.08366391082396</v>
      </c>
      <c r="D13" s="30">
        <f t="shared" si="2"/>
        <v>2.4680937930391</v>
      </c>
      <c r="E13" s="30">
        <f t="shared" si="3"/>
        <v>2.9602476404085</v>
      </c>
      <c r="F13" s="30">
        <f t="shared" si="4"/>
        <v>-0.0555973069398279</v>
      </c>
      <c r="G13" s="31">
        <f t="shared" si="5"/>
        <v>1.87658372958454</v>
      </c>
    </row>
    <row r="14" spans="1:7">
      <c r="A14" s="29">
        <v>13</v>
      </c>
      <c r="B14" s="30">
        <f t="shared" si="0"/>
        <v>2.4680937930391</v>
      </c>
      <c r="C14" s="30">
        <f t="shared" si="1"/>
        <v>2.9602476404085</v>
      </c>
      <c r="D14" s="30">
        <f t="shared" si="2"/>
        <v>1.0163979941916</v>
      </c>
      <c r="E14" s="30">
        <f t="shared" si="3"/>
        <v>2.90057744070557</v>
      </c>
      <c r="F14" s="30">
        <f t="shared" si="4"/>
        <v>-1.4516957988475</v>
      </c>
      <c r="G14" s="31">
        <f t="shared" si="5"/>
        <v>-0.0596701997029294</v>
      </c>
    </row>
    <row r="15" spans="1:7">
      <c r="A15" s="29">
        <v>14</v>
      </c>
      <c r="B15" s="30">
        <f t="shared" si="0"/>
        <v>1.0163979941916</v>
      </c>
      <c r="C15" s="30">
        <f t="shared" si="1"/>
        <v>2.90057744070557</v>
      </c>
      <c r="D15" s="30">
        <f t="shared" si="2"/>
        <v>1.02890384443368</v>
      </c>
      <c r="E15" s="30">
        <f t="shared" si="3"/>
        <v>2.09226725129662</v>
      </c>
      <c r="F15" s="30">
        <f t="shared" si="4"/>
        <v>0.0125058502420745</v>
      </c>
      <c r="G15" s="31">
        <f t="shared" si="5"/>
        <v>-0.808310189408951</v>
      </c>
    </row>
    <row r="16" spans="1:7">
      <c r="A16" s="29">
        <v>15</v>
      </c>
      <c r="B16" s="30">
        <f t="shared" si="0"/>
        <v>1.02890384443368</v>
      </c>
      <c r="C16" s="30">
        <f t="shared" si="1"/>
        <v>2.09226725129662</v>
      </c>
      <c r="D16" s="30">
        <f t="shared" si="2"/>
        <v>1.50184390365165</v>
      </c>
      <c r="E16" s="30">
        <f t="shared" si="3"/>
        <v>2.05485357468791</v>
      </c>
      <c r="F16" s="30">
        <f t="shared" si="4"/>
        <v>0.472940059217975</v>
      </c>
      <c r="G16" s="31">
        <f t="shared" si="5"/>
        <v>-0.0374136766087076</v>
      </c>
    </row>
    <row r="17" spans="1:7">
      <c r="A17" s="29">
        <v>16</v>
      </c>
      <c r="B17" s="30">
        <f t="shared" si="0"/>
        <v>1.50184390365165</v>
      </c>
      <c r="C17" s="30">
        <f t="shared" si="1"/>
        <v>2.05485357468791</v>
      </c>
      <c r="D17" s="30">
        <f t="shared" si="2"/>
        <v>1.53462587677873</v>
      </c>
      <c r="E17" s="30">
        <f t="shared" si="3"/>
        <v>1.02131878293646</v>
      </c>
      <c r="F17" s="30">
        <f t="shared" si="4"/>
        <v>0.0327819731270782</v>
      </c>
      <c r="G17" s="31">
        <f t="shared" si="5"/>
        <v>-1.03353479175144</v>
      </c>
    </row>
    <row r="18" spans="1:7">
      <c r="A18" s="29">
        <v>17</v>
      </c>
      <c r="B18" s="30">
        <f t="shared" si="0"/>
        <v>1.53462587677873</v>
      </c>
      <c r="C18" s="30">
        <f t="shared" si="1"/>
        <v>1.02131878293646</v>
      </c>
      <c r="D18" s="30">
        <f t="shared" si="2"/>
        <v>2.52224175094207</v>
      </c>
      <c r="E18" s="30">
        <f t="shared" si="3"/>
        <v>1.0058815819837</v>
      </c>
      <c r="F18" s="30">
        <f t="shared" si="4"/>
        <v>0.987615874163344</v>
      </c>
      <c r="G18" s="31">
        <f t="shared" si="5"/>
        <v>-0.015437200952765</v>
      </c>
    </row>
    <row r="19" spans="1:7">
      <c r="A19" s="29">
        <v>18</v>
      </c>
      <c r="B19" s="30">
        <f t="shared" si="0"/>
        <v>2.52224175094207</v>
      </c>
      <c r="C19" s="30">
        <f t="shared" si="1"/>
        <v>1.0058815819837</v>
      </c>
      <c r="D19" s="30">
        <f t="shared" si="2"/>
        <v>2.53534380850486</v>
      </c>
      <c r="E19" s="30">
        <f t="shared" si="3"/>
        <v>2.95902481188244</v>
      </c>
      <c r="F19" s="30">
        <f t="shared" si="4"/>
        <v>0.013102057562786</v>
      </c>
      <c r="G19" s="31">
        <f t="shared" si="5"/>
        <v>1.95314322989874</v>
      </c>
    </row>
    <row r="20" spans="1:7">
      <c r="A20" s="29">
        <v>19</v>
      </c>
      <c r="B20" s="30">
        <f t="shared" si="0"/>
        <v>2.53534380850486</v>
      </c>
      <c r="C20" s="30">
        <f t="shared" si="1"/>
        <v>2.95902481188244</v>
      </c>
      <c r="D20" s="30">
        <f t="shared" si="2"/>
        <v>1.01661926995007</v>
      </c>
      <c r="E20" s="30">
        <f t="shared" si="3"/>
        <v>2.96941751238571</v>
      </c>
      <c r="F20" s="30">
        <f t="shared" si="4"/>
        <v>-1.51872453855479</v>
      </c>
      <c r="G20" s="31">
        <f t="shared" si="5"/>
        <v>0.0103927005032705</v>
      </c>
    </row>
    <row r="21" ht="15.15" spans="1:7">
      <c r="A21" s="32">
        <v>20</v>
      </c>
      <c r="B21" s="33">
        <f t="shared" si="0"/>
        <v>1.01661926995007</v>
      </c>
      <c r="C21" s="33">
        <f t="shared" si="1"/>
        <v>2.96941751238571</v>
      </c>
      <c r="D21" s="34">
        <f t="shared" si="2"/>
        <v>1.01478555981647</v>
      </c>
      <c r="E21" s="34">
        <f t="shared" si="3"/>
        <v>2.09160623544217</v>
      </c>
      <c r="F21" s="34">
        <f t="shared" si="4"/>
        <v>-0.00183371013359968</v>
      </c>
      <c r="G21" s="35">
        <f t="shared" si="5"/>
        <v>-0.877811276943539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"/>
  <sheetViews>
    <sheetView workbookViewId="0">
      <selection activeCell="J12" sqref="J12"/>
    </sheetView>
  </sheetViews>
  <sheetFormatPr defaultColWidth="9" defaultRowHeight="14.4" outlineLevelRow="5"/>
  <sheetData>
    <row r="1" ht="15.15" spans="1:9">
      <c r="A1" s="11" t="s">
        <v>9</v>
      </c>
      <c r="B1" s="12" t="s">
        <v>25</v>
      </c>
      <c r="C1" s="12" t="s">
        <v>43</v>
      </c>
      <c r="D1" s="13" t="s">
        <v>44</v>
      </c>
      <c r="F1" s="11">
        <v>-1</v>
      </c>
      <c r="G1" s="12">
        <v>0</v>
      </c>
      <c r="H1" s="12">
        <v>1</v>
      </c>
      <c r="I1" s="13">
        <v>2</v>
      </c>
    </row>
    <row r="2" ht="15.15" spans="1:9">
      <c r="A2" s="14">
        <v>-1</v>
      </c>
      <c r="B2" s="15">
        <v>1.8</v>
      </c>
      <c r="C2" s="15">
        <f>SUM(B2:B5)/4</f>
        <v>2.1</v>
      </c>
      <c r="D2" s="16">
        <f>POWER(B2-C2,2)</f>
        <v>0.09</v>
      </c>
      <c r="F2" s="14">
        <v>1.8</v>
      </c>
      <c r="G2" s="15">
        <v>2.4</v>
      </c>
      <c r="H2" s="15">
        <v>2.2</v>
      </c>
      <c r="I2" s="16">
        <v>2</v>
      </c>
    </row>
    <row r="3" spans="1:9">
      <c r="A3" s="14">
        <v>0</v>
      </c>
      <c r="B3" s="15">
        <v>2.4</v>
      </c>
      <c r="C3" s="15">
        <f>SUM(B2:B5)/4</f>
        <v>2.1</v>
      </c>
      <c r="D3" s="16">
        <f t="shared" ref="D3:D5" si="0">POWER(B3-C3,2)</f>
        <v>0.0899999999999999</v>
      </c>
      <c r="F3" s="14">
        <f>SUM(F2:I2)/4</f>
        <v>2.1</v>
      </c>
      <c r="G3" s="15">
        <f>SUM(F2:I2)/4</f>
        <v>2.1</v>
      </c>
      <c r="H3" s="15">
        <f>SUM(F2:I2)/4</f>
        <v>2.1</v>
      </c>
      <c r="I3" s="16">
        <f>SUM(F2:I2)/4</f>
        <v>2.1</v>
      </c>
    </row>
    <row r="4" ht="15.15" spans="1:9">
      <c r="A4" s="14">
        <v>1</v>
      </c>
      <c r="B4" s="15">
        <v>2.2</v>
      </c>
      <c r="C4" s="15">
        <f>SUM(B2:B5)/4</f>
        <v>2.1</v>
      </c>
      <c r="D4" s="16">
        <f t="shared" si="0"/>
        <v>0.01</v>
      </c>
      <c r="F4" s="18">
        <f>POWER(F2-F3,2)+F3</f>
        <v>2.19</v>
      </c>
      <c r="G4" s="19">
        <f>POWER(G2-G3,2)+G3</f>
        <v>2.19</v>
      </c>
      <c r="H4" s="19">
        <f>POWER(H2-H3,2)+2.1</f>
        <v>2.11</v>
      </c>
      <c r="I4" s="20">
        <f>POWER(I2-I3,2)+2</f>
        <v>2.01</v>
      </c>
    </row>
    <row r="5" ht="15.15" spans="1:4">
      <c r="A5" s="14">
        <v>2</v>
      </c>
      <c r="B5" s="15">
        <v>2</v>
      </c>
      <c r="C5" s="15">
        <f>SUM(B2:B5)/4</f>
        <v>2.1</v>
      </c>
      <c r="D5" s="16">
        <f t="shared" si="0"/>
        <v>0.01</v>
      </c>
    </row>
    <row r="6" ht="15.15" spans="1:4">
      <c r="A6" s="18" t="s">
        <v>45</v>
      </c>
      <c r="B6" s="19">
        <f>SUM(B2:B5)</f>
        <v>8.4</v>
      </c>
      <c r="C6" s="19">
        <f>SUM(C2:C5)</f>
        <v>8.4</v>
      </c>
      <c r="D6" s="20">
        <f>SUM(D2:D5)</f>
        <v>0.2</v>
      </c>
    </row>
  </sheetData>
  <pageMargins left="0.7" right="0.7" top="0.75" bottom="0.75" header="0.3" footer="0.3"/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4"/>
  <sheetViews>
    <sheetView tabSelected="1" zoomScale="85" zoomScaleNormal="85" workbookViewId="0">
      <selection activeCell="K18" sqref="K18"/>
    </sheetView>
  </sheetViews>
  <sheetFormatPr defaultColWidth="9" defaultRowHeight="14.4"/>
  <cols>
    <col min="3" max="3" width="12.8888888888889"/>
    <col min="4" max="4" width="14.1111111111111"/>
    <col min="6" max="6" width="13" customWidth="1"/>
    <col min="8" max="8" width="12.8888888888889"/>
    <col min="12" max="12" width="12.8888888888889"/>
  </cols>
  <sheetData>
    <row r="1" spans="1:11">
      <c r="A1" s="1" t="s">
        <v>46</v>
      </c>
      <c r="B1" s="2"/>
      <c r="C1" s="2"/>
      <c r="D1" s="3">
        <f>K3/2*(L6+2*L7+2*L8+2*L9+2*L10+2*L11+L12)</f>
        <v>1.88236978124098</v>
      </c>
      <c r="F1" s="4" t="s">
        <v>47</v>
      </c>
      <c r="G1" s="3">
        <v>0.2</v>
      </c>
      <c r="J1" s="4" t="s">
        <v>47</v>
      </c>
      <c r="K1" s="3">
        <v>0.2</v>
      </c>
    </row>
    <row r="2" ht="15.15" spans="1:11">
      <c r="A2" s="5" t="s">
        <v>48</v>
      </c>
      <c r="B2" s="6"/>
      <c r="C2" s="6"/>
      <c r="D2" s="7">
        <f>K3/3*(L6+4*L7+2*L8+4*L9+2*L10+4*L11+L12)</f>
        <v>1.87424898703285</v>
      </c>
      <c r="F2" s="8" t="s">
        <v>49</v>
      </c>
      <c r="G2" s="9">
        <v>1.4</v>
      </c>
      <c r="J2" s="8" t="s">
        <v>49</v>
      </c>
      <c r="K2" s="9">
        <v>1.4</v>
      </c>
    </row>
    <row r="3" ht="15.15" spans="6:11">
      <c r="F3" s="10" t="s">
        <v>50</v>
      </c>
      <c r="G3" s="7">
        <v>0.1</v>
      </c>
      <c r="J3" s="10" t="s">
        <v>50</v>
      </c>
      <c r="K3" s="7">
        <v>0.2</v>
      </c>
    </row>
    <row r="4" ht="15.15" spans="1:4">
      <c r="A4" s="1" t="s">
        <v>51</v>
      </c>
      <c r="B4" s="2"/>
      <c r="C4" s="2"/>
      <c r="D4" s="3">
        <f>D1-D7</f>
        <v>0.00607774164145702</v>
      </c>
    </row>
    <row r="5" ht="15.15" spans="1:12">
      <c r="A5" s="5" t="s">
        <v>52</v>
      </c>
      <c r="B5" s="6"/>
      <c r="C5" s="6"/>
      <c r="D5" s="7">
        <f>D2-D8</f>
        <v>-1.7138686188245e-5</v>
      </c>
      <c r="F5" s="11" t="s">
        <v>8</v>
      </c>
      <c r="G5" s="12" t="s">
        <v>9</v>
      </c>
      <c r="H5" s="13" t="s">
        <v>25</v>
      </c>
      <c r="J5" s="11" t="s">
        <v>8</v>
      </c>
      <c r="K5" s="12" t="s">
        <v>9</v>
      </c>
      <c r="L5" s="13" t="s">
        <v>25</v>
      </c>
    </row>
    <row r="6" ht="15.15" spans="6:12">
      <c r="F6" s="14">
        <v>1</v>
      </c>
      <c r="G6" s="15">
        <v>0.2</v>
      </c>
      <c r="H6" s="16">
        <f t="shared" ref="H6:H18" si="0">SQRT(G6*G6+G6*G6*G6*G6+1)</f>
        <v>1.02058806577385</v>
      </c>
      <c r="J6" s="14">
        <v>0</v>
      </c>
      <c r="K6" s="15">
        <v>0.2</v>
      </c>
      <c r="L6" s="16">
        <f>SQRT(K6*K6+K6*K6*K6*K6+1)</f>
        <v>1.02058806577385</v>
      </c>
    </row>
    <row r="7" spans="1:12">
      <c r="A7" s="1" t="s">
        <v>46</v>
      </c>
      <c r="B7" s="2"/>
      <c r="C7" s="2"/>
      <c r="D7" s="3">
        <f>G3/2*(H6+H7*2+H8*2+H9*2+2*H10+2*H11+2*H12+2*H13+2*H14+2*H15+2*H16+2*H17+H18)</f>
        <v>1.87629203959953</v>
      </c>
      <c r="F7" s="14">
        <v>2</v>
      </c>
      <c r="G7" s="15">
        <v>0.3</v>
      </c>
      <c r="H7" s="16">
        <f t="shared" si="0"/>
        <v>1.04790266723585</v>
      </c>
      <c r="J7" s="14">
        <v>1</v>
      </c>
      <c r="K7" s="15">
        <v>0.4</v>
      </c>
      <c r="L7" s="16">
        <f t="shared" ref="L7:L12" si="1">SQRT(K7*K7+K7*K7*K7*K7+1)</f>
        <v>1.0888526071053</v>
      </c>
    </row>
    <row r="8" ht="15.15" spans="1:12">
      <c r="A8" s="5" t="s">
        <v>48</v>
      </c>
      <c r="B8" s="6"/>
      <c r="C8" s="6"/>
      <c r="D8" s="7">
        <f>G3/3*(H6+H7*4+H8*2+H9*4+2*H10+4*H11+2*H12+4*H13+2*H14+4*H15+2*H16+4*H17+H18)</f>
        <v>1.87426612571904</v>
      </c>
      <c r="F8" s="14">
        <v>3</v>
      </c>
      <c r="G8" s="15">
        <v>0.4</v>
      </c>
      <c r="H8" s="16">
        <f t="shared" si="0"/>
        <v>1.0888526071053</v>
      </c>
      <c r="J8" s="14">
        <v>2</v>
      </c>
      <c r="K8" s="15">
        <v>0.6</v>
      </c>
      <c r="L8" s="16">
        <f t="shared" si="1"/>
        <v>1.22049170419139</v>
      </c>
    </row>
    <row r="9" spans="6:12">
      <c r="F9" s="14">
        <v>4</v>
      </c>
      <c r="G9" s="15">
        <v>0.5</v>
      </c>
      <c r="H9" s="16">
        <f t="shared" si="0"/>
        <v>1.14564392373896</v>
      </c>
      <c r="J9" s="14">
        <v>3</v>
      </c>
      <c r="K9" s="15">
        <v>0.8</v>
      </c>
      <c r="L9" s="16">
        <f t="shared" si="1"/>
        <v>1.43164241345386</v>
      </c>
    </row>
    <row r="10" spans="6:12">
      <c r="F10" s="14">
        <v>5</v>
      </c>
      <c r="G10" s="15">
        <v>0.6</v>
      </c>
      <c r="H10" s="16">
        <f t="shared" si="0"/>
        <v>1.22049170419139</v>
      </c>
      <c r="J10" s="14">
        <v>4</v>
      </c>
      <c r="K10" s="15">
        <v>1</v>
      </c>
      <c r="L10" s="16">
        <f t="shared" si="1"/>
        <v>1.73205080756888</v>
      </c>
    </row>
    <row r="11" spans="6:12">
      <c r="F11" s="14">
        <v>6</v>
      </c>
      <c r="G11" s="15">
        <v>0.7</v>
      </c>
      <c r="H11" s="16">
        <f t="shared" si="0"/>
        <v>1.31533265754333</v>
      </c>
      <c r="J11" s="14">
        <v>5</v>
      </c>
      <c r="K11" s="15">
        <v>1.2</v>
      </c>
      <c r="L11" s="16">
        <f t="shared" si="1"/>
        <v>2.12452347598232</v>
      </c>
    </row>
    <row r="12" ht="15.15" spans="6:12">
      <c r="F12" s="14">
        <v>7</v>
      </c>
      <c r="G12" s="15">
        <v>0.8</v>
      </c>
      <c r="H12" s="16">
        <f t="shared" si="0"/>
        <v>1.43164241345386</v>
      </c>
      <c r="J12" s="18">
        <v>6</v>
      </c>
      <c r="K12" s="19">
        <v>1.4</v>
      </c>
      <c r="L12" s="20">
        <f t="shared" si="1"/>
        <v>2.60798773003249</v>
      </c>
    </row>
    <row r="13" spans="6:8">
      <c r="F13" s="14">
        <v>8</v>
      </c>
      <c r="G13" s="15">
        <v>0.9</v>
      </c>
      <c r="H13" s="16">
        <f t="shared" si="0"/>
        <v>1.5703821191035</v>
      </c>
    </row>
    <row r="14" spans="6:8">
      <c r="F14" s="14">
        <v>9</v>
      </c>
      <c r="G14" s="15">
        <v>1</v>
      </c>
      <c r="H14" s="16">
        <f t="shared" si="0"/>
        <v>1.73205080756888</v>
      </c>
    </row>
    <row r="15" spans="6:8">
      <c r="F15" s="14">
        <v>10</v>
      </c>
      <c r="G15" s="15">
        <v>1.1</v>
      </c>
      <c r="H15" s="16">
        <f t="shared" si="0"/>
        <v>1.91679419865566</v>
      </c>
    </row>
    <row r="16" spans="6:8">
      <c r="F16" s="14">
        <v>11</v>
      </c>
      <c r="G16" s="15">
        <v>1.2</v>
      </c>
      <c r="H16" s="16">
        <f t="shared" si="0"/>
        <v>2.12452347598232</v>
      </c>
    </row>
    <row r="17" spans="6:8">
      <c r="F17" s="14">
        <v>12</v>
      </c>
      <c r="G17" s="15">
        <v>1.3</v>
      </c>
      <c r="H17" s="16">
        <f t="shared" si="0"/>
        <v>2.35501592351304</v>
      </c>
    </row>
    <row r="18" ht="15.15" spans="5:8">
      <c r="E18" s="17"/>
      <c r="F18" s="18">
        <v>13</v>
      </c>
      <c r="G18" s="19">
        <v>1.4</v>
      </c>
      <c r="H18" s="20">
        <f t="shared" si="0"/>
        <v>2.60798773003249</v>
      </c>
    </row>
    <row r="21" spans="5:8">
      <c r="E21" s="17"/>
      <c r="F21" s="17"/>
      <c r="G21" s="17"/>
      <c r="H21" s="17"/>
    </row>
    <row r="23" spans="11:11">
      <c r="K23" s="21"/>
    </row>
    <row r="24" ht="15.15" spans="11:11">
      <c r="K24" s="21"/>
    </row>
  </sheetData>
  <mergeCells count="6">
    <mergeCell ref="A1:C1"/>
    <mergeCell ref="A2:C2"/>
    <mergeCell ref="A4:C4"/>
    <mergeCell ref="A5:C5"/>
    <mergeCell ref="A7:C7"/>
    <mergeCell ref="A8:C8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Задание 1</vt:lpstr>
      <vt:lpstr>Задание 2</vt:lpstr>
      <vt:lpstr>Задание 3</vt:lpstr>
      <vt:lpstr>Задание 4.1</vt:lpstr>
      <vt:lpstr>Задание 4.2</vt:lpstr>
      <vt:lpstr>Задание 4.3</vt:lpstr>
      <vt:lpstr>Задание 5</vt:lpstr>
      <vt:lpstr>Задание 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shuts</cp:lastModifiedBy>
  <dcterms:created xsi:type="dcterms:W3CDTF">2015-06-05T18:17:00Z</dcterms:created>
  <dcterms:modified xsi:type="dcterms:W3CDTF">2025-04-03T15:46:40Z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E4F57BC4CEB74C429A71276A8990FA3D_12</vt:lpwstr>
  </property>
  <property fmtid="{D5CDD505-2E9C-101B-9397-08002B2CF9AE}" pid="3" name="KSOProductBuildVer">
    <vt:lpwstr>1049-12.2.0.20782</vt:lpwstr>
  </property>
</Properties>
</file>